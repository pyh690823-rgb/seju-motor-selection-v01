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84584c756b43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tor_Master" sheetId="1" r:id="R21a2cf44d4794fa6"/>
    <x:sheet xmlns:r="http://schemas.openxmlformats.org/officeDocument/2006/relationships" name="Field_Definitions" sheetId="2" r:id="R125661185ba14483"/>
    <x:sheet xmlns:r="http://schemas.openxmlformats.org/officeDocument/2006/relationships" name="Data_Quality" sheetId="3" r:id="R7ba96a87ed094172"/>
    <x:sheet xmlns:r="http://schemas.openxmlformats.org/officeDocument/2006/relationships" name="Dashboard_Readiness" sheetId="4" r:id="Rb9caaeebb0324819"/>
    <x:sheet xmlns:r="http://schemas.openxmlformats.org/officeDocument/2006/relationships" name="Source_Reference" sheetId="5" r:id="Reee57cc457cd42b2"/>
    <x:sheet xmlns:r="http://schemas.openxmlformats.org/officeDocument/2006/relationships" name="Archive_Summary" sheetId="6" r:id="R12cabe04d3d04c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"/>
    <x:numFmt numFmtId="202" formatCode="0.000"/>
    <x:numFmt numFmtId="203" formatCode="0%"/>
  </x:numFmts>
  <x:fonts count="1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0"/>
      <x:color rgb="FFFFFFFF"/>
      <x:name val="Aptos"/>
    </x:font>
    <x:font>
      <x:b/>
      <x:sz val="10"/>
      <x:name val="Aptos"/>
    </x:font>
    <x:font>
      <x:sz val="10"/>
      <x:name val="Aptos"/>
    </x:font>
    <x:font>
      <x:b/>
      <x:sz val="10"/>
      <x:color rgb="FF7F6000"/>
      <x:name val="Aptos"/>
    </x:font>
    <x:font>
      <x:b/>
      <x:sz val="16"/>
      <x:color rgb="FFFFFFFF"/>
      <x:name val="Aptos"/>
    </x:font>
    <x:font>
      <x:b/>
      <x:sz val="14"/>
      <x:color rgb="FFFFFFFF"/>
      <x:name val="Aptos"/>
    </x:font>
    <x:font>
      <x:b/>
      <x:sz val="15"/>
      <x:color rgb="FFFFFFFF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7F6000"/>
      </x:patternFill>
    </x:fill>
    <x:fill>
      <x:patternFill patternType="solid">
        <x:fgColor rgb="FFFFF2CC"/>
      </x:patternFill>
    </x:fill>
    <x:fill>
      <x:patternFill patternType="solid">
        <x:fgColor rgb="FF375623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horizontal="center"/>
    </x:xf>
    <x:xf numFmtId="0" fontId="5" fillId="9" borderId="0" xfId="0" applyNumberFormat="1" applyFont="1" applyFill="1" applyBorder="1" applyAlignment="1">
      <x:alignment horizontal="center" wrapText="1"/>
    </x:xf>
    <x:xf numFmtId="0" fontId="5" fillId="9" borderId="1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6" fillId="10" borderId="1" xfId="0" applyNumberFormat="1" applyFont="1" applyFill="1" applyBorder="1"/>
    <x:xf numFmtId="0" fontId="6" fillId="10" borderId="1" xfId="0" applyNumberFormat="1" applyFont="1" applyFill="1" applyBorder="1" applyAlignment="1">
      <x:alignment horizontal="center"/>
    </x:xf>
    <x:xf numFmtId="0" fontId="6" fillId="10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wrapText="1"/>
    </x:xf>
    <x:xf numFmtId="0" fontId="6" fillId="10" borderId="1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200" fontId="9" fillId="0" borderId="0" xfId="0" applyNumberFormat="1" applyFont="1" applyFill="1" applyBorder="1" applyAlignment="1">
      <x:alignment vertical="center" wrapText="1"/>
    </x:xf>
    <x:xf numFmtId="201" fontId="9" fillId="0" borderId="0" xfId="0" applyNumberFormat="1" applyFont="1" applyFill="1" applyBorder="1" applyAlignment="1">
      <x:alignment vertical="center" wrapText="1"/>
    </x:xf>
    <x:xf numFmtId="202" fontId="9" fillId="0" borderId="0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horizontal="center" vertical="center"/>
    </x:xf>
    <x:xf numFmtId="0" fontId="8" fillId="3" borderId="1" xfId="0" applyNumberFormat="1" applyFont="1" applyFill="1" applyBorder="1" applyAlignment="1">
      <x:alignment horizontal="center"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200" fontId="9" fillId="0" borderId="1" xfId="0" applyNumberFormat="1" applyFont="1" applyFill="1" applyBorder="1" applyAlignment="1">
      <x:alignment vertical="center" wrapText="1"/>
    </x:xf>
    <x:xf numFmtId="201" fontId="9" fillId="0" borderId="1" xfId="0" applyNumberFormat="1" applyFont="1" applyFill="1" applyBorder="1" applyAlignment="1">
      <x:alignment vertical="center" wrapText="1"/>
    </x:xf>
    <x:xf numFmtId="202" fontId="9" fillId="0" borderId="1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 wrapText="1"/>
    </x:xf>
    <x:xf numFmtId="0" fontId="9" fillId="0" borderId="1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horizontal="center" wrapText="1"/>
    </x:xf>
    <x:xf numFmtId="0" fontId="7" fillId="5" borderId="1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/>
    </x:xf>
    <x:xf numFmtId="203" fontId="9" fillId="0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 vertical="center" wrapText="1"/>
    </x:xf>
    <x:xf numFmtId="0" fontId="7" fillId="7" borderId="1" xfId="0" applyNumberFormat="1" applyFont="1" applyFill="1" applyBorder="1" applyAlignment="1">
      <x:alignment horizontal="center"/>
    </x:xf>
    <x:xf numFmtId="0" fontId="8" fillId="8" borderId="1" xfId="0" applyNumberFormat="1" applyFont="1" applyFill="1" applyBorder="1" applyAlignment="1">
      <x:alignment horizontal="center"/>
    </x:xf>
    <x:xf numFmtId="203" fontId="9" fillId="0" borderId="1" xfId="0" applyNumberFormat="1" applyFont="1" applyFill="1" applyBorder="1"/>
    <x:xf numFmtId="0" fontId="10" fillId="6" borderId="1" xfId="0" applyNumberFormat="1" applyFont="1" applyFill="1" applyBorder="1" applyAlignment="1">
      <x:alignment horizontal="center" vertical="center" wrapText="1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1" xfId="0" applyNumberFormat="1" applyFont="1" applyFill="1" applyBorder="1" applyAlignment="1">
      <x:alignment horizontal="center" wrapText="1"/>
    </x:xf>
    <x:xf numFmtId="0" fontId="7" fillId="10" borderId="0" xfId="0" applyNumberFormat="1" applyFont="1" applyFill="1" applyBorder="1" applyAlignment="1">
      <x:alignment horizontal="center" wrapText="1"/>
    </x:xf>
    <x:xf numFmtId="0" fontId="8" fillId="3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7" fillId="10" borderId="1" xfId="0" applyNumberFormat="1" applyFont="1" applyFill="1" applyBorder="1" applyAlignment="1">
      <x:alignment horizontal="center" wrapText="1"/>
    </x:xf>
    <x:xf numFmtId="0" fontId="8" fillId="3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horizontal="center" vertical="center"/>
    </x:xf>
    <x:xf numFmtId="0" fontId="11" fillId="2" borderId="1" xfId="0" applyNumberFormat="1" applyFont="1" applyFill="1" applyBorder="1" applyAlignment="1">
      <x:alignment horizontal="center" vertical="center"/>
    </x:xf>
    <x:xf numFmtId="0" fontId="12" fillId="4" borderId="0" xfId="0" applyNumberFormat="1" applyFont="1" applyFill="1" applyBorder="1" applyAlignment="1">
      <x:alignment horizontal="center"/>
    </x:xf>
    <x:xf numFmtId="0" fontId="12" fillId="4" borderId="1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/>
    </x:xf>
    <x:xf numFmtId="0" fontId="12" fillId="5" borderId="1" xfId="0" applyNumberFormat="1" applyFont="1" applyFill="1" applyBorder="1" applyAlignment="1">
      <x:alignment horizontal="center"/>
    </x:xf>
    <x:xf numFmtId="0" fontId="12" fillId="7" borderId="0" xfId="0" applyNumberFormat="1" applyFont="1" applyFill="1" applyBorder="1" applyAlignment="1">
      <x:alignment horizontal="center"/>
    </x:xf>
    <x:xf numFmtId="0" fontId="12" fillId="7" borderId="1" xfId="0" applyNumberFormat="1" applyFont="1" applyFill="1" applyBorder="1" applyAlignment="1">
      <x:alignment horizontal="center"/>
    </x:xf>
    <x:xf numFmtId="0" fontId="13" fillId="1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horizontal="center" wrapText="1"/>
    </x:xf>
    <x:xf numFmtId="0" fontId="4" fillId="11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  <x:color rgb="FF9C6500"/>
      </x:font>
      <x:fill>
        <x:patternFill>
          <x:bgColor rgb="FFFCE8B2"/>
        </x:patternFill>
      </x:fill>
    </x:dxf>
    <x:dxf>
      <x:font>
        <x:color rgb="FF9C0006"/>
      </x:font>
      <x:fill>
        <x:patternFill>
          <x:bgColor rgb="FFFDE9E7"/>
        </x:patternFill>
      </x:fill>
    </x:dxf>
    <x:dxf>
      <x:font>
        <x:color rgb="FF9C0006"/>
      </x:font>
      <x:fill>
        <x:patternFill>
          <x:bgColor rgb="FFFDE9E7"/>
        </x:patternFill>
      </x:fill>
    </x:dxf>
    <x:dxf>
      <x:font>
        <x:b/>
        <x:color rgb="FF9C6500"/>
      </x:font>
      <x:fill>
        <x:patternFill patternType="solid">
          <x:bgColor rgb="FFFCE8B2"/>
        </x:patternFill>
      </x:fill>
    </x:dxf>
    <x:dxf>
      <x:font>
        <x:color rgb="FF9C0006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c11a54c9d543e0" /><Relationship Type="http://schemas.openxmlformats.org/officeDocument/2006/relationships/theme" Target="/xl/theme/theme1.xml" Id="R7615c7b283204379" /><Relationship Type="http://schemas.openxmlformats.org/officeDocument/2006/relationships/sharedStrings" Target="/xl/sharedStrings.xml" Id="Re7778cf911da4e83" /><Relationship Type="http://schemas.openxmlformats.org/officeDocument/2006/relationships/worksheet" Target="/xl/worksheets/sheet1.xml" Id="R21a2cf44d4794fa6" /><Relationship Type="http://schemas.openxmlformats.org/officeDocument/2006/relationships/worksheet" Target="/xl/worksheets/sheet2.xml" Id="R125661185ba14483" /><Relationship Type="http://schemas.openxmlformats.org/officeDocument/2006/relationships/worksheet" Target="/xl/worksheets/sheet3.xml" Id="R7ba96a87ed094172" /><Relationship Type="http://schemas.openxmlformats.org/officeDocument/2006/relationships/worksheet" Target="/xl/worksheets/sheet4.xml" Id="Rb9caaeebb0324819" /><Relationship Type="http://schemas.openxmlformats.org/officeDocument/2006/relationships/worksheet" Target="/xl/worksheets/sheet5.xml" Id="Reee57cc457cd42b2" /><Relationship Type="http://schemas.openxmlformats.org/officeDocument/2006/relationships/worksheet" Target="/xl/worksheets/sheet6.xml" Id="R12cabe04d3d04c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4963dfaa84a458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사양항목별 확보 모델 수 (40개 기준)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확보 모델 수</c:v>
          </c:tx>
          <c:cat>
            <c:strRef>
              <c:f>'Dashboard_Readiness'!$A$4:$A$15</c:f>
              <c:strCache>
                <c:ptCount val="0"/>
              </c:strCache>
            </c:strRef>
          </c:cat>
          <c:val>
            <c:numRef>
              <c:f>'Dashboard_Readiness'!$B$4:$B$15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963dfaa84a458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8" name="MotorMaster67" displayName="MotorMaster67" ref="A2:AB69" headerRowCount="1" totalsRowCount="0" totalsRowShown="0">
  <x:tableColumns count="28">
    <x:tableColumn id="1" name="No"/>
    <x:tableColumn id="2" name="원본 PDF"/>
    <x:tableColumn id="3" name="파일명 모델"/>
    <x:tableColumn id="4" name="카탈로그 모델"/>
    <x:tableColumn id="5" name="모델명 일치"/>
    <x:tableColumn id="6" name="브랜드/표기"/>
    <x:tableColumn id="7" name="모터 유형"/>
    <x:tableColumn id="8" name="Step Angle (deg)"/>
    <x:tableColumn id="9" name="Frame Size (mm)"/>
    <x:tableColumn id="10" name="Motor Length (mm)"/>
    <x:tableColumn id="11" name="Phase"/>
    <x:tableColumn id="12" name="Rated Voltage (V)"/>
    <x:tableColumn id="13" name="Rated Current (A)"/>
    <x:tableColumn id="14" name="Holding Torque (mN·m)"/>
    <x:tableColumn id="15" name="Holding Torque (N·m)"/>
    <x:tableColumn id="16" name="Resistance (ohm)"/>
    <x:tableColumn id="17" name="Inductance (mH)"/>
    <x:tableColumn id="18" name="Rotor Inertia (g·cm²)"/>
    <x:tableColumn id="19" name="Motor Weight (kg)"/>
    <x:tableColumn id="20" name="Insulation Class"/>
    <x:tableColumn id="21" name="Number of Leads"/>
    <x:tableColumn id="22" name="Wire/Connection"/>
    <x:tableColumn id="23" name="Wire Length (mm)"/>
    <x:tableColumn id="24" name="Detent Torque (mN·m)"/>
    <x:tableColumn id="25" name="Shaft Info"/>
    <x:tableColumn id="26" name="Motor Options"/>
    <x:tableColumn id="27" name="추천엔진 데이터 상태"/>
    <x:tableColumn id="28" name="QA / 확인사항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Definitions40" displayName="FieldDefinitions40" ref="A3:F16" headerRowCount="1" totalsRowCount="0" totalsRowShown="0">
  <x:tableColumns count="6">
    <x:tableColumn id="1" name="필드"/>
    <x:tableColumn id="2" name="단위"/>
    <x:tableColumn id="3" name="의미"/>
    <x:tableColumn id="4" name="추천 Logic 활용"/>
    <x:tableColumn id="5" name="40개 커버리지"/>
    <x:tableColumn id="6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0" name="QA67" displayName="QA67" ref="A3:F25" headerRowCount="1" totalsRowCount="0" totalsRowShown="0">
  <x:tableColumns count="6">
    <x:tableColumn id="1" name="No"/>
    <x:tableColumn id="2" name="모델"/>
    <x:tableColumn id="3" name="원본 PDF"/>
    <x:tableColumn id="4" name="이슈 유형"/>
    <x:tableColumn id="5" name="원문/확인사항"/>
    <x:tableColumn id="6" name="권장 조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9" name="SourceReference67" displayName="SourceReference67" ref="A1:F68" headerRowCount="1" totalsRowCount="0" totalsRowShown="0">
  <x:tableColumns count="6">
    <x:tableColumn id="1" name="No"/>
    <x:tableColumn id="2" name="원본 PDF"/>
    <x:tableColumn id="3" name="주요 정보 페이지"/>
    <x:tableColumn id="4" name="사양표"/>
    <x:tableColumn id="5" name="치수/옵션"/>
    <x:tableColumn id="6" name="Batc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c6d52c6f4c4a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8331e809984c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f6fa84df63a4c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10f617b3b86f4c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19cba0dca847c9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6" hidden="0" customWidth="1"/>
    <x:col min="2" max="2" width="35" hidden="0" customWidth="1"/>
    <x:col min="3" max="3" width="21" hidden="0" customWidth="1"/>
    <x:col min="4" max="4" width="21" hidden="0" customWidth="1"/>
    <x:col min="5" max="5" width="10" hidden="0" customWidth="1"/>
    <x:col min="6" max="6" width="14" hidden="0" customWidth="1"/>
    <x:col min="7" max="7" width="23" hidden="0" customWidth="1"/>
    <x:col min="8" max="8" width="14" hidden="0" customWidth="1"/>
    <x:col min="9" max="9" width="15" hidden="0" customWidth="1"/>
    <x:col min="10" max="10" width="15" hidden="0" customWidth="1"/>
    <x:col min="11" max="11" width="8" hidden="0" customWidth="1"/>
    <x:col min="12" max="12" width="16" hidden="0" customWidth="1"/>
    <x:col min="13" max="13" width="16" hidden="0" customWidth="1"/>
    <x:col min="14" max="14" width="19" hidden="0" customWidth="1"/>
    <x:col min="15" max="15" width="19" hidden="0" customWidth="1"/>
    <x:col min="16" max="16" width="18" hidden="0" customWidth="1"/>
    <x:col min="17" max="17" width="18" hidden="0" customWidth="1"/>
    <x:col min="18" max="18" width="18" hidden="0" customWidth="1"/>
    <x:col min="19" max="19" width="16" hidden="0" customWidth="1"/>
    <x:col min="20" max="20" width="16" hidden="0" customWidth="1"/>
    <x:col min="21" max="21" width="15" hidden="0" customWidth="1"/>
    <x:col min="22" max="22" width="18" hidden="0" customWidth="1"/>
    <x:col min="23" max="23" width="17" hidden="0" customWidth="1"/>
    <x:col min="24" max="24" width="17" hidden="0" customWidth="1"/>
    <x:col min="25" max="25" width="25" hidden="0" customWidth="1"/>
    <x:col min="26" max="26" width="34" hidden="0" customWidth="1"/>
    <x:col min="27" max="27" width="31" hidden="0" customWidth="1"/>
    <x:col min="28" max="28" width="44" hidden="0" customWidth="1"/>
  </x:cols>
  <x:sheetData>
    <x:row r="1" ht="30" customHeight="1">
      <x:c r="A1" s="132" t="str">
        <x:v>SEJUMOTION Motor Specification Archive - Integrated 67 Models</x:v>
      </x:c>
      <x:c r="B1" s="132"/>
      <x:c r="C1" s="132"/>
      <x:c r="D1" s="132"/>
      <x:c r="E1" s="132"/>
      <x:c r="F1" s="132"/>
      <x:c r="G1" s="132"/>
      <x:c r="H1" s="132"/>
      <x:c r="I1" s="132"/>
      <x:c r="J1" s="132"/>
      <x:c r="K1" s="132"/>
      <x:c r="L1" s="132"/>
      <x:c r="M1" s="132"/>
      <x:c r="N1" s="132"/>
      <x:c r="O1" s="132"/>
      <x:c r="P1" s="132"/>
      <x:c r="Q1" s="132"/>
      <x:c r="R1" s="132"/>
      <x:c r="S1" s="132"/>
      <x:c r="T1" s="132"/>
      <x:c r="U1" s="132"/>
      <x:c r="V1" s="132"/>
      <x:c r="W1" s="132"/>
      <x:c r="X1" s="132"/>
      <x:c r="Y1" s="132"/>
      <x:c r="Z1" s="132"/>
      <x:c r="AA1" s="132"/>
      <x:c r="AB1" s="132"/>
    </x:row>
    <x:row r="2" ht="34" customHeight="1">
      <x:c r="A2" s="93" t="str">
        <x:v>No</x:v>
      </x:c>
      <x:c r="B2" s="93" t="str">
        <x:v>원본 PDF</x:v>
      </x:c>
      <x:c r="C2" s="93" t="str">
        <x:v>파일명 모델</x:v>
      </x:c>
      <x:c r="D2" s="93" t="str">
        <x:v>카탈로그 모델</x:v>
      </x:c>
      <x:c r="E2" s="93" t="str">
        <x:v>모델명 일치</x:v>
      </x:c>
      <x:c r="F2" s="93" t="str">
        <x:v>브랜드/표기</x:v>
      </x:c>
      <x:c r="G2" s="93" t="str">
        <x:v>모터 유형</x:v>
      </x:c>
      <x:c r="H2" s="93" t="str">
        <x:v>Step Angle (deg)</x:v>
      </x:c>
      <x:c r="I2" s="93" t="str">
        <x:v>Frame Size (mm)</x:v>
      </x:c>
      <x:c r="J2" s="93" t="str">
        <x:v>Motor Length (mm)</x:v>
      </x:c>
      <x:c r="K2" s="93" t="str">
        <x:v>Phase</x:v>
      </x:c>
      <x:c r="L2" s="93" t="str">
        <x:v>Rated Voltage (V)</x:v>
      </x:c>
      <x:c r="M2" s="93" t="str">
        <x:v>Rated Current (A)</x:v>
      </x:c>
      <x:c r="N2" s="93" t="str">
        <x:v>Holding Torque (mN·m)</x:v>
      </x:c>
      <x:c r="O2" s="93" t="str">
        <x:v>Holding Torque (N·m)</x:v>
      </x:c>
      <x:c r="P2" s="93" t="str">
        <x:v>Resistance (ohm)</x:v>
      </x:c>
      <x:c r="Q2" s="93" t="str">
        <x:v>Inductance (mH)</x:v>
      </x:c>
      <x:c r="R2" s="93" t="str">
        <x:v>Rotor Inertia (g·cm²)</x:v>
      </x:c>
      <x:c r="S2" s="93" t="str">
        <x:v>Motor Weight (kg)</x:v>
      </x:c>
      <x:c r="T2" s="93" t="str">
        <x:v>Insulation Class</x:v>
      </x:c>
      <x:c r="U2" s="93" t="str">
        <x:v>Number of Leads</x:v>
      </x:c>
      <x:c r="V2" s="93" t="str">
        <x:v>Wire/Connection</x:v>
      </x:c>
      <x:c r="W2" s="93" t="str">
        <x:v>Wire Length (mm)</x:v>
      </x:c>
      <x:c r="X2" s="93" t="str">
        <x:v>Detent Torque (mN·m)</x:v>
      </x:c>
      <x:c r="Y2" s="93" t="str">
        <x:v>Shaft Info</x:v>
      </x:c>
      <x:c r="Z2" s="93" t="str">
        <x:v>Motor Options</x:v>
      </x:c>
      <x:c r="AA2" s="93" t="str">
        <x:v>추천엔진 데이터 상태</x:v>
      </x:c>
      <x:c r="AB2" s="93" t="str">
        <x:v>QA / 확인사항</x:v>
      </x:c>
    </x:row>
    <x:row r="3" ht="30" customHeight="1">
      <x:c r="A3" s="94" t="n">
        <x:v>1</x:v>
      </x:c>
      <x:c r="B3" s="94" t="str">
        <x:v>35SJM0803-24B(35SHD0803-24B).pdf</x:v>
      </x:c>
      <x:c r="C3" s="94" t="str">
        <x:v>35SJM0803-24B</x:v>
      </x:c>
      <x:c r="D3" s="94" t="str">
        <x:v>35SJM0803-24B</x:v>
      </x:c>
      <x:c r="E3" s="94" t="str">
        <x:v>Y</x:v>
      </x:c>
      <x:c r="F3" s="94" t="str">
        <x:v>Mocoze</x:v>
      </x:c>
      <x:c r="G3" s="94" t="str">
        <x:v>2 Phase Stepping Motor</x:v>
      </x:c>
      <x:c r="H3" s="95" t="n">
        <x:v>1.8</x:v>
      </x:c>
      <x:c r="I3" s="95" t="n">
        <x:v>35</x:v>
      </x:c>
      <x:c r="J3" s="95" t="n">
        <x:v>40</x:v>
      </x:c>
      <x:c r="K3" s="94" t="n">
        <x:v>2</x:v>
      </x:c>
      <x:c r="L3" s="96"/>
      <x:c r="M3" s="96" t="n">
        <x:v>1.2</x:v>
      </x:c>
      <x:c r="N3" s="97" t="n">
        <x:v>200</x:v>
      </x:c>
      <x:c r="O3" s="97" t="n">
        <x:f>N3/1000</x:f>
        <x:v>0.2</x:v>
      </x:c>
      <x:c r="P3" s="96" t="n">
        <x:v>2.5</x:v>
      </x:c>
      <x:c r="Q3" s="96" t="n">
        <x:v>3.8</x:v>
      </x:c>
      <x:c r="R3" s="96" t="n">
        <x:v>18</x:v>
      </x:c>
      <x:c r="S3" s="97" t="n">
        <x:v>0.21</x:v>
      </x:c>
      <x:c r="T3" s="94"/>
      <x:c r="U3" s="94" t="n">
        <x:v>4</x:v>
      </x:c>
      <x:c r="V3" s="94" t="str">
        <x:v>Bipolar</x:v>
      </x:c>
      <x:c r="W3" s="95"/>
      <x:c r="X3" s="95"/>
      <x:c r="Y3" s="94"/>
      <x:c r="Z3" s="94" t="str">
        <x:v>Encoder / Brake / Gearhead / Connector</x:v>
      </x:c>
      <x:c r="AA3" s="94" t="str">
        <x:v>기본 Archive 가능 / 동적선정 추가자료 필요</x:v>
      </x:c>
      <x:c r="AB3" s="94" t="str"/>
    </x:row>
    <x:row r="4" ht="30" customHeight="1">
      <x:c r="A4" s="94" t="n">
        <x:v>2</x:v>
      </x:c>
      <x:c r="B4" s="94" t="str">
        <x:v>35SJM0806-20BV2(35SHD0806-20BV2).pdf</x:v>
      </x:c>
      <x:c r="C4" s="94" t="str">
        <x:v>35SJM0806-20BV2</x:v>
      </x:c>
      <x:c r="D4" s="94" t="str">
        <x:v>35SJM0806-20BV2</x:v>
      </x:c>
      <x:c r="E4" s="94" t="str">
        <x:v>Y</x:v>
      </x:c>
      <x:c r="F4" s="94" t="str">
        <x:v>Mocoze</x:v>
      </x:c>
      <x:c r="G4" s="94" t="str">
        <x:v>2 Phase Stepping Motor</x:v>
      </x:c>
      <x:c r="H4" s="95" t="n">
        <x:v>1.8</x:v>
      </x:c>
      <x:c r="I4" s="95" t="n">
        <x:v>35</x:v>
      </x:c>
      <x:c r="J4" s="95" t="n">
        <x:v>40</x:v>
      </x:c>
      <x:c r="K4" s="94" t="n">
        <x:v>2</x:v>
      </x:c>
      <x:c r="L4" s="96"/>
      <x:c r="M4" s="96" t="n">
        <x:v>1</x:v>
      </x:c>
      <x:c r="N4" s="97" t="n">
        <x:v>140</x:v>
      </x:c>
      <x:c r="O4" s="97" t="n">
        <x:f>N4/1000</x:f>
        <x:v>0.14</x:v>
      </x:c>
      <x:c r="P4" s="96" t="n">
        <x:v>2.5</x:v>
      </x:c>
      <x:c r="Q4" s="96" t="n">
        <x:v>1.9</x:v>
      </x:c>
      <x:c r="R4" s="96" t="n">
        <x:v>18</x:v>
      </x:c>
      <x:c r="S4" s="97" t="n">
        <x:v>0.21</x:v>
      </x:c>
      <x:c r="T4" s="94"/>
      <x:c r="U4" s="94" t="n">
        <x:v>4</x:v>
      </x:c>
      <x:c r="V4" s="94" t="str">
        <x:v>Bipolar</x:v>
      </x:c>
      <x:c r="W4" s="95"/>
      <x:c r="X4" s="95"/>
      <x:c r="Y4" s="94"/>
      <x:c r="Z4" s="94" t="str">
        <x:v>Encoder / Brake / Gearhead / Connector</x:v>
      </x:c>
      <x:c r="AA4" s="94" t="str">
        <x:v>기본 Archive 가능 / 동적선정 추가자료 필요</x:v>
      </x:c>
      <x:c r="AB4" s="94" t="str"/>
    </x:row>
    <x:row r="5" ht="30" customHeight="1">
      <x:c r="A5" s="94" t="n">
        <x:v>3</x:v>
      </x:c>
      <x:c r="B5" s="94" t="str">
        <x:v>35SJM0810-24B(35SHD0810-24B).pdf</x:v>
      </x:c>
      <x:c r="C5" s="94" t="str">
        <x:v>35SJM0810-24B</x:v>
      </x:c>
      <x:c r="D5" s="94" t="str">
        <x:v>35SJM0810-24B</x:v>
      </x:c>
      <x:c r="E5" s="94" t="str">
        <x:v>Y</x:v>
      </x:c>
      <x:c r="F5" s="94" t="str">
        <x:v>Mocoze</x:v>
      </x:c>
      <x:c r="G5" s="94" t="str">
        <x:v>2 Phase Stepping Motor</x:v>
      </x:c>
      <x:c r="H5" s="95" t="n">
        <x:v>1.8</x:v>
      </x:c>
      <x:c r="I5" s="95" t="n">
        <x:v>35</x:v>
      </x:c>
      <x:c r="J5" s="95" t="n">
        <x:v>40</x:v>
      </x:c>
      <x:c r="K5" s="94" t="n">
        <x:v>2</x:v>
      </x:c>
      <x:c r="L5" s="96"/>
      <x:c r="M5" s="96" t="n">
        <x:v>1.2</x:v>
      </x:c>
      <x:c r="N5" s="97" t="n">
        <x:v>220</x:v>
      </x:c>
      <x:c r="O5" s="97" t="n">
        <x:f>N5/1000</x:f>
        <x:v>0.22</x:v>
      </x:c>
      <x:c r="P5" s="96" t="n">
        <x:v>4</x:v>
      </x:c>
      <x:c r="Q5" s="96" t="n">
        <x:v>7</x:v>
      </x:c>
      <x:c r="R5" s="96" t="n">
        <x:v>18</x:v>
      </x:c>
      <x:c r="S5" s="97" t="n">
        <x:v>0.21</x:v>
      </x:c>
      <x:c r="T5" s="94" t="str">
        <x:v>Class B</x:v>
      </x:c>
      <x:c r="U5" s="94"/>
      <x:c r="V5" s="94" t="str">
        <x:v>Plug-in</x:v>
      </x:c>
      <x:c r="W5" s="95" t="n">
        <x:v>300</x:v>
      </x:c>
      <x:c r="X5" s="95"/>
      <x:c r="Y5" s="94"/>
      <x:c r="Z5" s="94" t="str">
        <x:v>Encoder / Brake / Gearhead / Connector</x:v>
      </x:c>
      <x:c r="AA5" s="94" t="str">
        <x:v>기본 Archive 가능 / 동적선정 추가자료 필요</x:v>
      </x:c>
      <x:c r="AB5" s="94" t="str">
        <x:v>P1 Highlight SIZE 35×35×34 mm vs P2 Motor Length 40 mm - 확인 필요</x:v>
      </x:c>
    </x:row>
    <x:row r="6" ht="30" customHeight="1">
      <x:c r="A6" s="94" t="n">
        <x:v>4</x:v>
      </x:c>
      <x:c r="B6" s="94" t="str">
        <x:v>35SJM4001-20B(35SHD4001-20B).pdf</x:v>
      </x:c>
      <x:c r="C6" s="94" t="str">
        <x:v>35SJM4001-20B</x:v>
      </x:c>
      <x:c r="D6" s="94" t="str">
        <x:v>35SJM4001-20B</x:v>
      </x:c>
      <x:c r="E6" s="94" t="str">
        <x:v>Y</x:v>
      </x:c>
      <x:c r="F6" s="94" t="str">
        <x:v>Mocoze</x:v>
      </x:c>
      <x:c r="G6" s="94" t="str">
        <x:v>2 Phase Stepping Motor</x:v>
      </x:c>
      <x:c r="H6" s="95" t="n">
        <x:v>1.8</x:v>
      </x:c>
      <x:c r="I6" s="95" t="n">
        <x:v>35</x:v>
      </x:c>
      <x:c r="J6" s="95" t="n">
        <x:v>26</x:v>
      </x:c>
      <x:c r="K6" s="94" t="n">
        <x:v>2</x:v>
      </x:c>
      <x:c r="L6" s="96"/>
      <x:c r="M6" s="96" t="n">
        <x:v>0.4</x:v>
      </x:c>
      <x:c r="N6" s="97" t="n">
        <x:v>100</x:v>
      </x:c>
      <x:c r="O6" s="97" t="n">
        <x:f>N6/1000</x:f>
        <x:v>0.1</x:v>
      </x:c>
      <x:c r="P6" s="96" t="n">
        <x:v>20</x:v>
      </x:c>
      <x:c r="Q6" s="96" t="n">
        <x:v>20</x:v>
      </x:c>
      <x:c r="R6" s="96" t="n">
        <x:v>12</x:v>
      </x:c>
      <x:c r="S6" s="97" t="n">
        <x:v>0.12</x:v>
      </x:c>
      <x:c r="T6" s="94"/>
      <x:c r="U6" s="94" t="n">
        <x:v>4</x:v>
      </x:c>
      <x:c r="V6" s="94" t="str">
        <x:v>Bipolar</x:v>
      </x:c>
      <x:c r="W6" s="95"/>
      <x:c r="X6" s="95"/>
      <x:c r="Y6" s="94"/>
      <x:c r="Z6" s="94" t="str">
        <x:v>Encoder / Brake / Gearhead / Connector</x:v>
      </x:c>
      <x:c r="AA6" s="94" t="str">
        <x:v>기본 Archive 가능 / 동적선정 추가자료 필요</x:v>
      </x:c>
      <x:c r="AB6" s="94" t="str"/>
    </x:row>
    <x:row r="7" ht="30" customHeight="1">
      <x:c r="A7" s="94" t="n">
        <x:v>5</x:v>
      </x:c>
      <x:c r="B7" s="94" t="str">
        <x:v>14SJM4001-15B(14SHD4001-15B).pdf</x:v>
      </x:c>
      <x:c r="C7" s="94" t="str">
        <x:v>14SJM4001-15B</x:v>
      </x:c>
      <x:c r="D7" s="94" t="str">
        <x:v>14SJM4001-15</x:v>
      </x:c>
      <x:c r="E7" s="94" t="str">
        <x:v>확인</x:v>
      </x:c>
      <x:c r="F7" s="94" t="str">
        <x:v>Mocoze</x:v>
      </x:c>
      <x:c r="G7" s="94" t="str">
        <x:v>2 Phase Stepping Motor</x:v>
      </x:c>
      <x:c r="H7" s="95" t="n">
        <x:v>1.8</x:v>
      </x:c>
      <x:c r="I7" s="95" t="n">
        <x:v>14</x:v>
      </x:c>
      <x:c r="J7" s="95" t="n">
        <x:v>30</x:v>
      </x:c>
      <x:c r="K7" s="94" t="n">
        <x:v>2</x:v>
      </x:c>
      <x:c r="L7" s="96"/>
      <x:c r="M7" s="96" t="n">
        <x:v>0.3</x:v>
      </x:c>
      <x:c r="N7" s="97" t="n">
        <x:v>5.8</x:v>
      </x:c>
      <x:c r="O7" s="97" t="n">
        <x:f>N7/1000</x:f>
        <x:v>0.0058</x:v>
      </x:c>
      <x:c r="P7" s="96" t="n">
        <x:v>3.5</x:v>
      </x:c>
      <x:c r="Q7" s="96" t="n">
        <x:v>21</x:v>
      </x:c>
      <x:c r="R7" s="96" t="n">
        <x:v>2</x:v>
      </x:c>
      <x:c r="S7" s="97" t="n">
        <x:v>0.08</x:v>
      </x:c>
      <x:c r="T7" s="94" t="str">
        <x:v>Class B</x:v>
      </x:c>
      <x:c r="U7" s="94"/>
      <x:c r="V7" s="94" t="str">
        <x:v>Lead Wire</x:v>
      </x:c>
      <x:c r="W7" s="95" t="n">
        <x:v>300</x:v>
      </x:c>
      <x:c r="X7" s="95"/>
      <x:c r="Y7" s="94"/>
      <x:c r="Z7" s="94" t="str">
        <x:v>Encoder / Brake / Gearhead / Connector</x:v>
      </x:c>
      <x:c r="AA7" s="94" t="str">
        <x:v>기본 Archive 가능 / 동적선정 추가자료 필요</x:v>
      </x:c>
      <x:c r="AB7" s="94" t="str">
        <x:v>파일명 모델과 PDF 본문 Model Name 상이(B 유무)</x:v>
      </x:c>
    </x:row>
    <x:row r="8" ht="30" customHeight="1">
      <x:c r="A8" s="94" t="n">
        <x:v>6</x:v>
      </x:c>
      <x:c r="B8" s="94" t="str">
        <x:v>20SHD0014-10B.pdf</x:v>
      </x:c>
      <x:c r="C8" s="94" t="str">
        <x:v>20SHD0014-10B</x:v>
      </x:c>
      <x:c r="D8" s="94" t="str">
        <x:v>20SHD0014-10B</x:v>
      </x:c>
      <x:c r="E8" s="94" t="str">
        <x:v>Y</x:v>
      </x:c>
      <x:c r="F8" s="94" t="str">
        <x:v>SEJOOMOTION</x:v>
      </x:c>
      <x:c r="G8" s="94" t="str">
        <x:v>Hybrid Stepping Motor</x:v>
      </x:c>
      <x:c r="H8" s="95" t="n">
        <x:v>1.8</x:v>
      </x:c>
      <x:c r="I8" s="95" t="n">
        <x:v>20</x:v>
      </x:c>
      <x:c r="J8" s="95" t="n">
        <x:v>30</x:v>
      </x:c>
      <x:c r="K8" s="94" t="n">
        <x:v>2</x:v>
      </x:c>
      <x:c r="L8" s="96" t="n">
        <x:v>4.2</x:v>
      </x:c>
      <x:c r="M8" s="96" t="n">
        <x:v>0.35</x:v>
      </x:c>
      <x:c r="N8" s="97" t="n">
        <x:v>19</x:v>
      </x:c>
      <x:c r="O8" s="97" t="n">
        <x:f>N8/1000</x:f>
        <x:v>0.019</x:v>
      </x:c>
      <x:c r="P8" s="96" t="n">
        <x:v>12</x:v>
      </x:c>
      <x:c r="Q8" s="96" t="n">
        <x:v>4.3</x:v>
      </x:c>
      <x:c r="R8" s="96" t="n">
        <x:v>2</x:v>
      </x:c>
      <x:c r="S8" s="97" t="n">
        <x:v>0.06</x:v>
      </x:c>
      <x:c r="T8" s="94" t="str">
        <x:v>Class B</x:v>
      </x:c>
      <x:c r="U8" s="94"/>
      <x:c r="V8" s="94"/>
      <x:c r="W8" s="95" t="n">
        <x:v>200</x:v>
      </x:c>
      <x:c r="X8" s="95" t="n">
        <x:v>2</x:v>
      </x:c>
      <x:c r="Y8" s="94"/>
      <x:c r="Z8" s="94"/>
      <x:c r="AA8" s="94" t="str">
        <x:v>기본 Archive 가능 / 동적선정 추가자료 필요</x:v>
      </x:c>
      <x:c r="AB8" s="94" t="str">
        <x:v>스캔/도면형 PDF, Motor Length 30 mm는 도면 30max 반영</x:v>
      </x:c>
    </x:row>
    <x:row r="9" ht="30" customHeight="1">
      <x:c r="A9" s="94" t="n">
        <x:v>7</x:v>
      </x:c>
      <x:c r="B9" s="94" t="str">
        <x:v>20SJM0001-20(20SHD0001-20).pdf</x:v>
      </x:c>
      <x:c r="C9" s="94" t="str">
        <x:v>20SJM0001-20</x:v>
      </x:c>
      <x:c r="D9" s="94" t="str">
        <x:v>20SJM0001-20</x:v>
      </x:c>
      <x:c r="E9" s="94" t="str">
        <x:v>Y</x:v>
      </x:c>
      <x:c r="F9" s="94" t="str">
        <x:v>Mocoze</x:v>
      </x:c>
      <x:c r="G9" s="94" t="str">
        <x:v>2 Phase Stepping Motor</x:v>
      </x:c>
      <x:c r="H9" s="95" t="n">
        <x:v>1.8</x:v>
      </x:c>
      <x:c r="I9" s="95" t="n">
        <x:v>20</x:v>
      </x:c>
      <x:c r="J9" s="95" t="n">
        <x:v>30</x:v>
      </x:c>
      <x:c r="K9" s="94" t="n">
        <x:v>2</x:v>
      </x:c>
      <x:c r="L9" s="96"/>
      <x:c r="M9" s="96" t="n">
        <x:v>0.6</x:v>
      </x:c>
      <x:c r="N9" s="97" t="n">
        <x:v>15</x:v>
      </x:c>
      <x:c r="O9" s="97" t="n">
        <x:f>N9/1000</x:f>
        <x:v>0.015</x:v>
      </x:c>
      <x:c r="P9" s="96" t="n">
        <x:v>6.5</x:v>
      </x:c>
      <x:c r="Q9" s="96" t="n">
        <x:v>1.7</x:v>
      </x:c>
      <x:c r="R9" s="96" t="n">
        <x:v>2</x:v>
      </x:c>
      <x:c r="S9" s="97" t="n">
        <x:v>0.06</x:v>
      </x:c>
      <x:c r="T9" s="94" t="str">
        <x:v>Class B</x:v>
      </x:c>
      <x:c r="U9" s="94"/>
      <x:c r="V9" s="94" t="str">
        <x:v>Plug-in</x:v>
      </x:c>
      <x:c r="W9" s="95" t="n">
        <x:v>400</x:v>
      </x:c>
      <x:c r="X9" s="95"/>
      <x:c r="Y9" s="94"/>
      <x:c r="Z9" s="94" t="str">
        <x:v>Encoder / Brake / Gearhead / Connector</x:v>
      </x:c>
      <x:c r="AA9" s="94" t="str">
        <x:v>기본 Archive 가능 / 동적선정 추가자료 필요</x:v>
      </x:c>
      <x:c r="AB9" s="94" t="str"/>
    </x:row>
    <x:row r="10" ht="30" customHeight="1">
      <x:c r="A10" s="94" t="n">
        <x:v>8</x:v>
      </x:c>
      <x:c r="B10" s="94" t="str">
        <x:v>20SJM0003-20(20SHD0003-20).pdf</x:v>
      </x:c>
      <x:c r="C10" s="94" t="str">
        <x:v>20SJM0003-20</x:v>
      </x:c>
      <x:c r="D10" s="94" t="str">
        <x:v>20SJM0003-20</x:v>
      </x:c>
      <x:c r="E10" s="94" t="str">
        <x:v>Y</x:v>
      </x:c>
      <x:c r="F10" s="94" t="str">
        <x:v>Mocoze</x:v>
      </x:c>
      <x:c r="G10" s="94" t="str">
        <x:v>2 Phase Stepping Motor</x:v>
      </x:c>
      <x:c r="H10" s="95" t="n">
        <x:v>1.8</x:v>
      </x:c>
      <x:c r="I10" s="95" t="n">
        <x:v>20</x:v>
      </x:c>
      <x:c r="J10" s="95" t="n">
        <x:v>30</x:v>
      </x:c>
      <x:c r="K10" s="94" t="n">
        <x:v>2</x:v>
      </x:c>
      <x:c r="L10" s="96"/>
      <x:c r="M10" s="96" t="n">
        <x:v>0.6</x:v>
      </x:c>
      <x:c r="N10" s="97" t="n">
        <x:v>20</x:v>
      </x:c>
      <x:c r="O10" s="97" t="n">
        <x:f>N10/1000</x:f>
        <x:v>0.02</x:v>
      </x:c>
      <x:c r="P10" s="96" t="n">
        <x:v>6.5</x:v>
      </x:c>
      <x:c r="Q10" s="96" t="n">
        <x:v>2</x:v>
      </x:c>
      <x:c r="R10" s="96" t="n">
        <x:v>2</x:v>
      </x:c>
      <x:c r="S10" s="97" t="n">
        <x:v>0.06</x:v>
      </x:c>
      <x:c r="T10" s="94" t="str">
        <x:v>Class B</x:v>
      </x:c>
      <x:c r="U10" s="94"/>
      <x:c r="V10" s="94" t="str">
        <x:v>Plug-in</x:v>
      </x:c>
      <x:c r="W10" s="95" t="n">
        <x:v>300</x:v>
      </x:c>
      <x:c r="X10" s="95"/>
      <x:c r="Y10" s="94"/>
      <x:c r="Z10" s="94" t="str">
        <x:v>Encoder / Brake / Gearhead / Connector</x:v>
      </x:c>
      <x:c r="AA10" s="94" t="str">
        <x:v>기본 Archive 가능 / 동적선정 추가자료 필요</x:v>
      </x:c>
      <x:c r="AB10" s="94" t="str"/>
    </x:row>
    <x:row r="11" ht="30" customHeight="1">
      <x:c r="A11" s="94" t="n">
        <x:v>9</x:v>
      </x:c>
      <x:c r="B11" s="94" t="str">
        <x:v>20SJM0250-20(20SHD0250-20).pdf</x:v>
      </x:c>
      <x:c r="C11" s="94" t="str">
        <x:v>20SJM0250-20</x:v>
      </x:c>
      <x:c r="D11" s="94" t="str">
        <x:v>20SJM0250-20</x:v>
      </x:c>
      <x:c r="E11" s="94" t="str">
        <x:v>Y</x:v>
      </x:c>
      <x:c r="F11" s="94" t="str">
        <x:v>Mocoze</x:v>
      </x:c>
      <x:c r="G11" s="94" t="str">
        <x:v>2 Phase Stepping Motor</x:v>
      </x:c>
      <x:c r="H11" s="95" t="n">
        <x:v>1.8</x:v>
      </x:c>
      <x:c r="I11" s="95" t="n">
        <x:v>20</x:v>
      </x:c>
      <x:c r="J11" s="95" t="n">
        <x:v>38</x:v>
      </x:c>
      <x:c r="K11" s="94" t="n">
        <x:v>2</x:v>
      </x:c>
      <x:c r="L11" s="96"/>
      <x:c r="M11" s="96" t="n">
        <x:v>0.6</x:v>
      </x:c>
      <x:c r="N11" s="97" t="n">
        <x:v>32</x:v>
      </x:c>
      <x:c r="O11" s="97" t="n">
        <x:f>N11/1000</x:f>
        <x:v>0.032</x:v>
      </x:c>
      <x:c r="P11" s="96" t="n">
        <x:v>9</x:v>
      </x:c>
      <x:c r="Q11" s="96" t="n">
        <x:v>3</x:v>
      </x:c>
      <x:c r="R11" s="96" t="n">
        <x:v>3.8</x:v>
      </x:c>
      <x:c r="S11" s="97" t="n">
        <x:v>0.08</x:v>
      </x:c>
      <x:c r="T11" s="94" t="str">
        <x:v>Class B</x:v>
      </x:c>
      <x:c r="U11" s="94"/>
      <x:c r="V11" s="94" t="str">
        <x:v>Lead Wire</x:v>
      </x:c>
      <x:c r="W11" s="95" t="n">
        <x:v>300</x:v>
      </x:c>
      <x:c r="X11" s="95"/>
      <x:c r="Y11" s="94"/>
      <x:c r="Z11" s="94" t="str">
        <x:v>Encoder / Brake / Gearhead / Connector</x:v>
      </x:c>
      <x:c r="AA11" s="94" t="str">
        <x:v>기본 Archive 가능 / 동적선정 추가자료 필요</x:v>
      </x:c>
      <x:c r="AB11" s="94" t="str"/>
    </x:row>
    <x:row r="12" ht="30" customHeight="1">
      <x:c r="A12" s="94" t="n">
        <x:v>10</x:v>
      </x:c>
      <x:c r="B12" s="94" t="str">
        <x:v>20SJM0255-15B2(20SHD0255-15B2).pdf</x:v>
      </x:c>
      <x:c r="C12" s="94" t="str">
        <x:v>20SJM0255-15B2</x:v>
      </x:c>
      <x:c r="D12" s="94" t="str">
        <x:v>20SJM0255-15B2</x:v>
      </x:c>
      <x:c r="E12" s="94" t="str">
        <x:v>Y</x:v>
      </x:c>
      <x:c r="F12" s="94" t="str">
        <x:v>Mocoze</x:v>
      </x:c>
      <x:c r="G12" s="94" t="str">
        <x:v>2 Phase Stepping Motor</x:v>
      </x:c>
      <x:c r="H12" s="95" t="n">
        <x:v>1.8</x:v>
      </x:c>
      <x:c r="I12" s="95" t="n">
        <x:v>20</x:v>
      </x:c>
      <x:c r="J12" s="95" t="n">
        <x:v>38</x:v>
      </x:c>
      <x:c r="K12" s="94" t="n">
        <x:v>2</x:v>
      </x:c>
      <x:c r="L12" s="96"/>
      <x:c r="M12" s="96" t="n">
        <x:v>0.6</x:v>
      </x:c>
      <x:c r="N12" s="97" t="n">
        <x:v>40</x:v>
      </x:c>
      <x:c r="O12" s="97" t="n">
        <x:f>N12/1000</x:f>
        <x:v>0.04</x:v>
      </x:c>
      <x:c r="P12" s="96" t="n">
        <x:v>12.5</x:v>
      </x:c>
      <x:c r="Q12" s="96" t="n">
        <x:v>5.5</x:v>
      </x:c>
      <x:c r="R12" s="96" t="n">
        <x:v>3.8</x:v>
      </x:c>
      <x:c r="S12" s="97" t="n">
        <x:v>0.08</x:v>
      </x:c>
      <x:c r="T12" s="94" t="str">
        <x:v>Class B</x:v>
      </x:c>
      <x:c r="U12" s="94"/>
      <x:c r="V12" s="94" t="str">
        <x:v>Plug-in</x:v>
      </x:c>
      <x:c r="W12" s="95" t="n">
        <x:v>300</x:v>
      </x:c>
      <x:c r="X12" s="95"/>
      <x:c r="Y12" s="94"/>
      <x:c r="Z12" s="94" t="str">
        <x:v>Encoder / Brake / Gearhead / Connector</x:v>
      </x:c>
      <x:c r="AA12" s="94" t="str">
        <x:v>기본 Archive 가능 / 동적선정 추가자료 필요</x:v>
      </x:c>
      <x:c r="AB12" s="94" t="str"/>
    </x:row>
    <x:row r="13" ht="30" customHeight="1">
      <x:c r="A13" s="94" t="n">
        <x:v>11</x:v>
      </x:c>
      <x:c r="B13" s="94" t="str">
        <x:v>20SJM0301-5(20SHD0301-5).pdf</x:v>
      </x:c>
      <x:c r="C13" s="94" t="str">
        <x:v>20SJM0301-5</x:v>
      </x:c>
      <x:c r="D13" s="94" t="str">
        <x:v>20SJM0301-5</x:v>
      </x:c>
      <x:c r="E13" s="94" t="str">
        <x:v>Y</x:v>
      </x:c>
      <x:c r="F13" s="94" t="str">
        <x:v>Mocoze</x:v>
      </x:c>
      <x:c r="G13" s="94" t="str">
        <x:v>2 Phase Stepping Motor</x:v>
      </x:c>
      <x:c r="H13" s="95" t="n">
        <x:v>1.8</x:v>
      </x:c>
      <x:c r="I13" s="95" t="n">
        <x:v>20</x:v>
      </x:c>
      <x:c r="J13" s="95" t="n">
        <x:v>27.3</x:v>
      </x:c>
      <x:c r="K13" s="94" t="n">
        <x:v>2</x:v>
      </x:c>
      <x:c r="L13" s="96"/>
      <x:c r="M13" s="96" t="n">
        <x:v>0.6</x:v>
      </x:c>
      <x:c r="N13" s="97" t="n">
        <x:v>22</x:v>
      </x:c>
      <x:c r="O13" s="97" t="n">
        <x:f>N13/1000</x:f>
        <x:v>0.022</x:v>
      </x:c>
      <x:c r="P13" s="96" t="n">
        <x:v>7.1</x:v>
      </x:c>
      <x:c r="Q13" s="96" t="n">
        <x:v>2</x:v>
      </x:c>
      <x:c r="R13" s="96" t="n">
        <x:v>2</x:v>
      </x:c>
      <x:c r="S13" s="97" t="n">
        <x:v>0.06</x:v>
      </x:c>
      <x:c r="T13" s="94" t="str">
        <x:v>Class B</x:v>
      </x:c>
      <x:c r="U13" s="94"/>
      <x:c r="V13" s="94" t="str">
        <x:v>Plug-in</x:v>
      </x:c>
      <x:c r="W13" s="95" t="n">
        <x:v>400</x:v>
      </x:c>
      <x:c r="X13" s="95"/>
      <x:c r="Y13" s="94"/>
      <x:c r="Z13" s="94" t="str">
        <x:v>Encoder / Brake / Gearhead / Connector</x:v>
      </x:c>
      <x:c r="AA13" s="94" t="str">
        <x:v>기본 Archive 가능 / 동적선정 추가자료 필요</x:v>
      </x:c>
      <x:c r="AB13" s="94" t="str"/>
    </x:row>
    <x:row r="14" ht="30" customHeight="1">
      <x:c r="A14" s="94" t="n">
        <x:v>12</x:v>
      </x:c>
      <x:c r="B14" s="94" t="str">
        <x:v>20SJM4502-19B.pdf</x:v>
      </x:c>
      <x:c r="C14" s="94" t="str">
        <x:v>20SJM4502-19B</x:v>
      </x:c>
      <x:c r="D14" s="94" t="str">
        <x:v>20SJM4502-19B1</x:v>
      </x:c>
      <x:c r="E14" s="94" t="str">
        <x:v>확인</x:v>
      </x:c>
      <x:c r="F14" s="94" t="str">
        <x:v>Mocoze</x:v>
      </x:c>
      <x:c r="G14" s="94" t="str">
        <x:v>2 Phase Stepping Motor</x:v>
      </x:c>
      <x:c r="H14" s="95" t="n">
        <x:v>1.8</x:v>
      </x:c>
      <x:c r="I14" s="95" t="n">
        <x:v>20</x:v>
      </x:c>
      <x:c r="J14" s="95" t="n">
        <x:v>33</x:v>
      </x:c>
      <x:c r="K14" s="94" t="n">
        <x:v>2</x:v>
      </x:c>
      <x:c r="L14" s="96"/>
      <x:c r="M14" s="96" t="n">
        <x:v>0.8</x:v>
      </x:c>
      <x:c r="N14" s="97" t="n">
        <x:v>21</x:v>
      </x:c>
      <x:c r="O14" s="97" t="n">
        <x:f>N14/1000</x:f>
        <x:v>0.021</x:v>
      </x:c>
      <x:c r="P14" s="96" t="n">
        <x:v>4.5</x:v>
      </x:c>
      <x:c r="Q14" s="96" t="n">
        <x:v>1.6</x:v>
      </x:c>
      <x:c r="R14" s="96" t="n">
        <x:v>2.5</x:v>
      </x:c>
      <x:c r="S14" s="97" t="n">
        <x:v>0.07</x:v>
      </x:c>
      <x:c r="T14" s="94" t="str">
        <x:v>Class B</x:v>
      </x:c>
      <x:c r="U14" s="94" t="n">
        <x:v>4</x:v>
      </x:c>
      <x:c r="V14" s="94" t="str">
        <x:v>Bipolar</x:v>
      </x:c>
      <x:c r="W14" s="95"/>
      <x:c r="X14" s="95"/>
      <x:c r="Y14" s="94" t="str">
        <x:v>Milling Flat Shaft 19mm Length</x:v>
      </x:c>
      <x:c r="Z14" s="94" t="str">
        <x:v>Encoder / Brake / Gearhead / Connector</x:v>
      </x:c>
      <x:c r="AA14" s="94" t="str">
        <x:v>기본 Archive 가능 / 동적선정 추가자료 필요</x:v>
      </x:c>
      <x:c r="AB14" s="94" t="str">
        <x:v>파일명 모델과 PDF 본문 Model Name 상이(B/B1)</x:v>
      </x:c>
    </x:row>
    <x:row r="15" ht="30" customHeight="1">
      <x:c r="A15" s="94" t="n">
        <x:v>13</x:v>
      </x:c>
      <x:c r="B15" s="94" t="str">
        <x:v>28SJM0405-15B(28SHD0405-15B).pdf</x:v>
      </x:c>
      <x:c r="C15" s="94" t="str">
        <x:v>28SJM0405-15B</x:v>
      </x:c>
      <x:c r="D15" s="94" t="str">
        <x:v>28SJM0405-15B</x:v>
      </x:c>
      <x:c r="E15" s="94" t="str">
        <x:v>Y</x:v>
      </x:c>
      <x:c r="F15" s="94" t="str">
        <x:v>Mocoze</x:v>
      </x:c>
      <x:c r="G15" s="94" t="str">
        <x:v>2 Phase Stepping Motor</x:v>
      </x:c>
      <x:c r="H15" s="95" t="n">
        <x:v>1.8</x:v>
      </x:c>
      <x:c r="I15" s="95" t="n">
        <x:v>28</x:v>
      </x:c>
      <x:c r="J15" s="95" t="n">
        <x:v>45</x:v>
      </x:c>
      <x:c r="K15" s="94" t="n">
        <x:v>2</x:v>
      </x:c>
      <x:c r="L15" s="96"/>
      <x:c r="M15" s="96" t="n">
        <x:v>1.5</x:v>
      </x:c>
      <x:c r="N15" s="97" t="n">
        <x:v>120</x:v>
      </x:c>
      <x:c r="O15" s="97" t="n">
        <x:f>N15/1000</x:f>
        <x:v>0.12</x:v>
      </x:c>
      <x:c r="P15" s="96" t="n">
        <x:v>2.7</x:v>
      </x:c>
      <x:c r="Q15" s="96" t="n">
        <x:v>1.9</x:v>
      </x:c>
      <x:c r="R15" s="96" t="n">
        <x:v>9</x:v>
      </x:c>
      <x:c r="S15" s="97" t="n">
        <x:v>0.16</x:v>
      </x:c>
      <x:c r="T15" s="94"/>
      <x:c r="U15" s="94" t="n">
        <x:v>4</x:v>
      </x:c>
      <x:c r="V15" s="94" t="str">
        <x:v>Bipolar</x:v>
      </x:c>
      <x:c r="W15" s="95"/>
      <x:c r="X15" s="95"/>
      <x:c r="Y15" s="94"/>
      <x:c r="Z15" s="94" t="str">
        <x:v>Encoder / Brake / Gearhead / Connector</x:v>
      </x:c>
      <x:c r="AA15" s="94" t="str">
        <x:v>기본 Archive 가능 / 동적선정 추가자료 필요</x:v>
      </x:c>
      <x:c r="AB15" s="94" t="str"/>
    </x:row>
    <x:row r="16" ht="30" customHeight="1">
      <x:c r="A16" s="94" t="n">
        <x:v>14</x:v>
      </x:c>
      <x:c r="B16" s="94" t="str">
        <x:v>28SJM4201-15P(28SHD4201-15P).pdf</x:v>
      </x:c>
      <x:c r="C16" s="94" t="str">
        <x:v>28SJM4201-15P</x:v>
      </x:c>
      <x:c r="D16" s="94" t="str">
        <x:v>28SJM4201-15P</x:v>
      </x:c>
      <x:c r="E16" s="94" t="str">
        <x:v>Y</x:v>
      </x:c>
      <x:c r="F16" s="94" t="str">
        <x:v>Mocoze</x:v>
      </x:c>
      <x:c r="G16" s="94" t="str">
        <x:v>2 Phase Stepping Motor</x:v>
      </x:c>
      <x:c r="H16" s="95" t="n">
        <x:v>1.8</x:v>
      </x:c>
      <x:c r="I16" s="95" t="n">
        <x:v>28</x:v>
      </x:c>
      <x:c r="J16" s="95" t="n">
        <x:v>32</x:v>
      </x:c>
      <x:c r="K16" s="94" t="n">
        <x:v>2</x:v>
      </x:c>
      <x:c r="L16" s="96"/>
      <x:c r="M16" s="96" t="n">
        <x:v>0.42</x:v>
      </x:c>
      <x:c r="N16" s="97" t="n">
        <x:v>55</x:v>
      </x:c>
      <x:c r="O16" s="97" t="n">
        <x:f>N16/1000</x:f>
        <x:v>0.055</x:v>
      </x:c>
      <x:c r="P16" s="96" t="n">
        <x:v>11.9</x:v>
      </x:c>
      <x:c r="Q16" s="96" t="n">
        <x:v>7.8</x:v>
      </x:c>
      <x:c r="R16" s="96" t="n">
        <x:v>9</x:v>
      </x:c>
      <x:c r="S16" s="97" t="n">
        <x:v>0.12</x:v>
      </x:c>
      <x:c r="T16" s="94" t="str">
        <x:v>Class B</x:v>
      </x:c>
      <x:c r="U16" s="94"/>
      <x:c r="V16" s="94" t="str">
        <x:v>Lead Wire</x:v>
      </x:c>
      <x:c r="W16" s="95" t="n">
        <x:v>38</x:v>
      </x:c>
      <x:c r="X16" s="95"/>
      <x:c r="Y16" s="94"/>
      <x:c r="Z16" s="94" t="str">
        <x:v>Encoder / Brake / Gearhead / Connector</x:v>
      </x:c>
      <x:c r="AA16" s="94" t="str">
        <x:v>기본 Archive 가능 / 동적선정 추가자료 필요</x:v>
      </x:c>
      <x:c r="AB16" s="94" t="str">
        <x:v>Wire Length 38 mm - 원본 재확인 권장</x:v>
      </x:c>
    </x:row>
    <x:row r="17" ht="30" customHeight="1">
      <x:c r="A17" s="94" t="n">
        <x:v>15</x:v>
      </x:c>
      <x:c r="B17" s="94" t="str">
        <x:v>28SJM4202-20L(28SHD4202-20L).pdf</x:v>
      </x:c>
      <x:c r="C17" s="94" t="str">
        <x:v>28SJM4202-20L</x:v>
      </x:c>
      <x:c r="D17" s="94" t="str">
        <x:v>28SJM4202-20L</x:v>
      </x:c>
      <x:c r="E17" s="94" t="str">
        <x:v>Y</x:v>
      </x:c>
      <x:c r="F17" s="94" t="str">
        <x:v>Mocoze</x:v>
      </x:c>
      <x:c r="G17" s="94" t="str">
        <x:v>2 Phase Stepping Motor</x:v>
      </x:c>
      <x:c r="H17" s="95" t="n">
        <x:v>1.8</x:v>
      </x:c>
      <x:c r="I17" s="95" t="n">
        <x:v>28</x:v>
      </x:c>
      <x:c r="J17" s="95" t="n">
        <x:v>32</x:v>
      </x:c>
      <x:c r="K17" s="94" t="n">
        <x:v>2</x:v>
      </x:c>
      <x:c r="L17" s="96"/>
      <x:c r="M17" s="96" t="n">
        <x:v>0.67</x:v>
      </x:c>
      <x:c r="N17" s="97" t="n">
        <x:v>60</x:v>
      </x:c>
      <x:c r="O17" s="97" t="n">
        <x:f>N17/1000</x:f>
        <x:v>0.06</x:v>
      </x:c>
      <x:c r="P17" s="96" t="n">
        <x:v>5.6</x:v>
      </x:c>
      <x:c r="Q17" s="96" t="n">
        <x:v>5</x:v>
      </x:c>
      <x:c r="R17" s="96" t="n">
        <x:v>9</x:v>
      </x:c>
      <x:c r="S17" s="97" t="n">
        <x:v>0.12</x:v>
      </x:c>
      <x:c r="T17" s="94" t="str">
        <x:v>Class B</x:v>
      </x:c>
      <x:c r="U17" s="94"/>
      <x:c r="V17" s="94" t="str">
        <x:v>Lead Wire</x:v>
      </x:c>
      <x:c r="W17" s="95" t="n">
        <x:v>300</x:v>
      </x:c>
      <x:c r="X17" s="95"/>
      <x:c r="Y17" s="94"/>
      <x:c r="Z17" s="94" t="str">
        <x:v>Encoder / Brake / Gearhead / Connector</x:v>
      </x:c>
      <x:c r="AA17" s="94" t="str">
        <x:v>기본 Archive 가능 / 동적선정 추가자료 필요</x:v>
      </x:c>
      <x:c r="AB17" s="94" t="str"/>
    </x:row>
    <x:row r="18" ht="30" customHeight="1">
      <x:c r="A18" s="94" t="n">
        <x:v>16</x:v>
      </x:c>
      <x:c r="B18" s="94" t="str">
        <x:v>28SJM4207-20(28SHD4207-20).pdf</x:v>
      </x:c>
      <x:c r="C18" s="94" t="str">
        <x:v>28SJM4207-20</x:v>
      </x:c>
      <x:c r="D18" s="94" t="str">
        <x:v>28SJM4207-20</x:v>
      </x:c>
      <x:c r="E18" s="94" t="str">
        <x:v>Y</x:v>
      </x:c>
      <x:c r="F18" s="94" t="str">
        <x:v>Mocoze</x:v>
      </x:c>
      <x:c r="G18" s="94" t="str">
        <x:v>2 Phase Stepping Motor</x:v>
      </x:c>
      <x:c r="H18" s="95" t="n">
        <x:v>1.8</x:v>
      </x:c>
      <x:c r="I18" s="95" t="n">
        <x:v>28</x:v>
      </x:c>
      <x:c r="J18" s="95" t="n">
        <x:v>32.2</x:v>
      </x:c>
      <x:c r="K18" s="94" t="n">
        <x:v>2</x:v>
      </x:c>
      <x:c r="L18" s="96"/>
      <x:c r="M18" s="96" t="n">
        <x:v>0.67</x:v>
      </x:c>
      <x:c r="N18" s="97" t="n">
        <x:v>80</x:v>
      </x:c>
      <x:c r="O18" s="97" t="n">
        <x:f>N18/1000</x:f>
        <x:v>0.08</x:v>
      </x:c>
      <x:c r="P18" s="96" t="n">
        <x:v>5.8</x:v>
      </x:c>
      <x:c r="Q18" s="96" t="n">
        <x:v>4.1</x:v>
      </x:c>
      <x:c r="R18" s="96" t="n">
        <x:v>9</x:v>
      </x:c>
      <x:c r="S18" s="97" t="n">
        <x:v>0.12</x:v>
      </x:c>
      <x:c r="T18" s="94" t="str">
        <x:v>Class B</x:v>
      </x:c>
      <x:c r="U18" s="94"/>
      <x:c r="V18" s="94" t="str">
        <x:v>Plug-in</x:v>
      </x:c>
      <x:c r="W18" s="95" t="n">
        <x:v>300</x:v>
      </x:c>
      <x:c r="X18" s="95"/>
      <x:c r="Y18" s="94"/>
      <x:c r="Z18" s="94" t="str">
        <x:v>Encoder / Brake / Gearhead / Connector</x:v>
      </x:c>
      <x:c r="AA18" s="94" t="str">
        <x:v>기본 Archive 가능 / 동적선정 추가자료 필요</x:v>
      </x:c>
      <x:c r="AB18" s="94" t="str"/>
    </x:row>
    <x:row r="19" ht="30" customHeight="1">
      <x:c r="A19" s="94" t="n">
        <x:v>17</x:v>
      </x:c>
      <x:c r="B19" s="94" t="str">
        <x:v>28SJM4217-15B(28SHD4217-15B).pdf</x:v>
      </x:c>
      <x:c r="C19" s="94" t="str">
        <x:v>28SJM4217-15B</x:v>
      </x:c>
      <x:c r="D19" s="94" t="str">
        <x:v>28SJM4217-15B</x:v>
      </x:c>
      <x:c r="E19" s="94" t="str">
        <x:v>Y</x:v>
      </x:c>
      <x:c r="F19" s="94" t="str">
        <x:v>Mocoze</x:v>
      </x:c>
      <x:c r="G19" s="94" t="str">
        <x:v>2 Phase Stepping Motor</x:v>
      </x:c>
      <x:c r="H19" s="95" t="n">
        <x:v>1.8</x:v>
      </x:c>
      <x:c r="I19" s="95" t="n">
        <x:v>28</x:v>
      </x:c>
      <x:c r="J19" s="95" t="n">
        <x:v>32</x:v>
      </x:c>
      <x:c r="K19" s="94" t="n">
        <x:v>2</x:v>
      </x:c>
      <x:c r="L19" s="96"/>
      <x:c r="M19" s="96" t="n">
        <x:v>3</x:v>
      </x:c>
      <x:c r="N19" s="97" t="n">
        <x:v>55</x:v>
      </x:c>
      <x:c r="O19" s="97" t="n">
        <x:f>N19/1000</x:f>
        <x:v>0.055</x:v>
      </x:c>
      <x:c r="P19" s="96" t="n">
        <x:v>30</x:v>
      </x:c>
      <x:c r="Q19" s="96" t="n">
        <x:v>20</x:v>
      </x:c>
      <x:c r="R19" s="96" t="n">
        <x:v>9</x:v>
      </x:c>
      <x:c r="S19" s="97" t="n">
        <x:v>0.12</x:v>
      </x:c>
      <x:c r="T19" s="94" t="str">
        <x:v>Class B</x:v>
      </x:c>
      <x:c r="U19" s="94"/>
      <x:c r="V19" s="94" t="str">
        <x:v>Lead Wire</x:v>
      </x:c>
      <x:c r="W19" s="95" t="n">
        <x:v>38</x:v>
      </x:c>
      <x:c r="X19" s="95"/>
      <x:c r="Y19" s="94"/>
      <x:c r="Z19" s="94" t="str">
        <x:v>Encoder / Brake / Gearhead / Connector</x:v>
      </x:c>
      <x:c r="AA19" s="94" t="str">
        <x:v>기본 Archive 가능 / 동적선정 추가자료 필요</x:v>
      </x:c>
      <x:c r="AB19" s="94" t="str">
        <x:v>Rated Current 3.0 A / Resistance 30 ohm / Wire Length 38 mm - 재확인 권장</x:v>
      </x:c>
    </x:row>
    <x:row r="20" ht="30" customHeight="1">
      <x:c r="A20" s="94" t="n">
        <x:v>18</x:v>
      </x:c>
      <x:c r="B20" s="94" t="str">
        <x:v>28SJM4218-15P(28SHD4218-15P).pdf</x:v>
      </x:c>
      <x:c r="C20" s="94" t="str">
        <x:v>28SJM4218-15P</x:v>
      </x:c>
      <x:c r="D20" s="94" t="str">
        <x:v>28SJM4218-15P</x:v>
      </x:c>
      <x:c r="E20" s="94" t="str">
        <x:v>Y</x:v>
      </x:c>
      <x:c r="F20" s="94" t="str">
        <x:v>Mocoze</x:v>
      </x:c>
      <x:c r="G20" s="94" t="str">
        <x:v>2 Phase Stepping Motor</x:v>
      </x:c>
      <x:c r="H20" s="95" t="n">
        <x:v>1.8</x:v>
      </x:c>
      <x:c r="I20" s="95" t="n">
        <x:v>28</x:v>
      </x:c>
      <x:c r="J20" s="95" t="n">
        <x:v>32</x:v>
      </x:c>
      <x:c r="K20" s="94" t="n">
        <x:v>2</x:v>
      </x:c>
      <x:c r="L20" s="96"/>
      <x:c r="M20" s="96" t="n">
        <x:v>0.5</x:v>
      </x:c>
      <x:c r="N20" s="97" t="n">
        <x:v>60</x:v>
      </x:c>
      <x:c r="O20" s="97" t="n">
        <x:f>N20/1000</x:f>
        <x:v>0.06</x:v>
      </x:c>
      <x:c r="P20" s="96" t="n">
        <x:v>9.5</x:v>
      </x:c>
      <x:c r="Q20" s="96" t="n">
        <x:v>5.9</x:v>
      </x:c>
      <x:c r="R20" s="96" t="n">
        <x:v>9</x:v>
      </x:c>
      <x:c r="S20" s="97" t="n">
        <x:v>0.12</x:v>
      </x:c>
      <x:c r="T20" s="94" t="str">
        <x:v>Class B</x:v>
      </x:c>
      <x:c r="U20" s="94"/>
      <x:c r="V20" s="94" t="str">
        <x:v>Plug-in</x:v>
      </x:c>
      <x:c r="W20" s="95" t="n">
        <x:v>320</x:v>
      </x:c>
      <x:c r="X20" s="95"/>
      <x:c r="Y20" s="94"/>
      <x:c r="Z20" s="94" t="str">
        <x:v>Encoder / Brake / Gearhead / Connector</x:v>
      </x:c>
      <x:c r="AA20" s="94" t="str">
        <x:v>기본 Archive 가능 / 동적선정 추가자료 필요</x:v>
      </x:c>
      <x:c r="AB20" s="94" t="str"/>
    </x:row>
    <x:row r="21" ht="30" customHeight="1">
      <x:c r="A21" s="94" t="n">
        <x:v>19</x:v>
      </x:c>
      <x:c r="B21" s="94" t="str">
        <x:v>35SJM0003-30(35SHD0003-30).pdf</x:v>
      </x:c>
      <x:c r="C21" s="94" t="str">
        <x:v>35SJM0003-30</x:v>
      </x:c>
      <x:c r="D21" s="94" t="str">
        <x:v>35SJM0003-30</x:v>
      </x:c>
      <x:c r="E21" s="94" t="str">
        <x:v>Y</x:v>
      </x:c>
      <x:c r="F21" s="94" t="str">
        <x:v>Mocoze</x:v>
      </x:c>
      <x:c r="G21" s="94" t="str">
        <x:v>2 Phase Stepping Motor</x:v>
      </x:c>
      <x:c r="H21" s="95" t="n">
        <x:v>1.8</x:v>
      </x:c>
      <x:c r="I21" s="95" t="n">
        <x:v>35</x:v>
      </x:c>
      <x:c r="J21" s="95" t="n">
        <x:v>26</x:v>
      </x:c>
      <x:c r="K21" s="94" t="n">
        <x:v>2</x:v>
      </x:c>
      <x:c r="L21" s="96"/>
      <x:c r="M21" s="96" t="n">
        <x:v>0.4</x:v>
      </x:c>
      <x:c r="N21" s="97" t="n">
        <x:v>110</x:v>
      </x:c>
      <x:c r="O21" s="97" t="n">
        <x:f>N21/1000</x:f>
        <x:v>0.11</x:v>
      </x:c>
      <x:c r="P21" s="96" t="n">
        <x:v>30</x:v>
      </x:c>
      <x:c r="Q21" s="96" t="n">
        <x:v>24</x:v>
      </x:c>
      <x:c r="R21" s="96" t="n">
        <x:v>12</x:v>
      </x:c>
      <x:c r="S21" s="97" t="n">
        <x:v>0.15</x:v>
      </x:c>
      <x:c r="T21" s="94"/>
      <x:c r="U21" s="94" t="n">
        <x:v>4</x:v>
      </x:c>
      <x:c r="V21" s="94" t="str">
        <x:v>Bipolar</x:v>
      </x:c>
      <x:c r="W21" s="95"/>
      <x:c r="X21" s="95"/>
      <x:c r="Y21" s="94"/>
      <x:c r="Z21" s="94" t="str">
        <x:v>Encoder / Brake / Gearhead / Connector</x:v>
      </x:c>
      <x:c r="AA21" s="94" t="str">
        <x:v>기본 Archive 가능 / 동적선정 추가자료 필요</x:v>
      </x:c>
      <x:c r="AB21" s="94" t="str"/>
    </x:row>
    <x:row r="22" ht="30" customHeight="1">
      <x:c r="A22" s="94" t="n">
        <x:v>20</x:v>
      </x:c>
      <x:c r="B22" s="94" t="str">
        <x:v>35SJM0801-30B(35SHD0801-30B).pdf</x:v>
      </x:c>
      <x:c r="C22" s="94" t="str">
        <x:v>35SJM0801-30B</x:v>
      </x:c>
      <x:c r="D22" s="94" t="str">
        <x:v>35SJM0801-30B</x:v>
      </x:c>
      <x:c r="E22" s="94" t="str">
        <x:v>Y</x:v>
      </x:c>
      <x:c r="F22" s="94" t="str">
        <x:v>Mocoze</x:v>
      </x:c>
      <x:c r="G22" s="94" t="str">
        <x:v>2 Phase Stepping Motor</x:v>
      </x:c>
      <x:c r="H22" s="95" t="n">
        <x:v>1.8</x:v>
      </x:c>
      <x:c r="I22" s="95" t="n">
        <x:v>35</x:v>
      </x:c>
      <x:c r="J22" s="95" t="n">
        <x:v>40</x:v>
      </x:c>
      <x:c r="K22" s="94" t="n">
        <x:v>2</x:v>
      </x:c>
      <x:c r="L22" s="96"/>
      <x:c r="M22" s="96" t="n">
        <x:v>0.5</x:v>
      </x:c>
      <x:c r="N22" s="97" t="n">
        <x:v>220</x:v>
      </x:c>
      <x:c r="O22" s="97" t="n">
        <x:f>N22/1000</x:f>
        <x:v>0.22</x:v>
      </x:c>
      <x:c r="P22" s="96" t="n">
        <x:v>18</x:v>
      </x:c>
      <x:c r="Q22" s="96" t="n">
        <x:v>25.5</x:v>
      </x:c>
      <x:c r="R22" s="96" t="n">
        <x:v>18</x:v>
      </x:c>
      <x:c r="S22" s="97" t="n">
        <x:v>0.21</x:v>
      </x:c>
      <x:c r="T22" s="94" t="str">
        <x:v>Class B</x:v>
      </x:c>
      <x:c r="U22" s="94"/>
      <x:c r="V22" s="94" t="str">
        <x:v>Plug-in</x:v>
      </x:c>
      <x:c r="W22" s="95" t="n">
        <x:v>300</x:v>
      </x:c>
      <x:c r="X22" s="95"/>
      <x:c r="Y22" s="94"/>
      <x:c r="Z22" s="94" t="str">
        <x:v>Encoder / Brake / Gearhead / Connector</x:v>
      </x:c>
      <x:c r="AA22" s="94" t="str">
        <x:v>기본 Archive 가능 / 동적선정 추가자료 필요</x:v>
      </x:c>
      <x:c r="AB22" s="94" t="str"/>
    </x:row>
    <x:row r="23" ht="30" customHeight="1">
      <x:c r="A23" s="94" t="n">
        <x:v>21</x:v>
      </x:c>
      <x:c r="B23" s="94" t="str">
        <x:v>42SJM0423-22B(42SHD0423-22B).pdf</x:v>
      </x:c>
      <x:c r="C23" s="94" t="str">
        <x:v>42SJM0423-22B</x:v>
      </x:c>
      <x:c r="D23" s="94" t="str">
        <x:v>42SJM0423-22B</x:v>
      </x:c>
      <x:c r="E23" s="94" t="str">
        <x:v>Y</x:v>
      </x:c>
      <x:c r="F23" s="94" t="str">
        <x:v>Mocoze</x:v>
      </x:c>
      <x:c r="G23" s="94" t="str">
        <x:v>2 Phase Stepping Motor</x:v>
      </x:c>
      <x:c r="H23" s="95" t="n">
        <x:v>1.8</x:v>
      </x:c>
      <x:c r="I23" s="95" t="n">
        <x:v>42</x:v>
      </x:c>
      <x:c r="J23" s="95" t="n">
        <x:v>48</x:v>
      </x:c>
      <x:c r="K23" s="94" t="n">
        <x:v>2</x:v>
      </x:c>
      <x:c r="L23" s="96"/>
      <x:c r="M23" s="96" t="n">
        <x:v>1.5</x:v>
      </x:c>
      <x:c r="N23" s="97" t="n">
        <x:v>550</x:v>
      </x:c>
      <x:c r="O23" s="97" t="n">
        <x:f>N23/1000</x:f>
        <x:v>0.55</x:v>
      </x:c>
      <x:c r="P23" s="96" t="n">
        <x:v>2.4</x:v>
      </x:c>
      <x:c r="Q23" s="96" t="n">
        <x:v>4</x:v>
      </x:c>
      <x:c r="R23" s="96" t="n">
        <x:v>72</x:v>
      </x:c>
      <x:c r="S23" s="97" t="n">
        <x:v>0.38</x:v>
      </x:c>
      <x:c r="T23" s="94" t="str">
        <x:v>Class B</x:v>
      </x:c>
      <x:c r="U23" s="94"/>
      <x:c r="V23" s="94" t="str">
        <x:v>Plug-in</x:v>
      </x:c>
      <x:c r="W23" s="95" t="n">
        <x:v>300</x:v>
      </x:c>
      <x:c r="X23" s="95"/>
      <x:c r="Y23" s="94"/>
      <x:c r="Z23" s="94" t="str">
        <x:v>Encoder / Brake / Gearhead / Connector</x:v>
      </x:c>
      <x:c r="AA23" s="94" t="str">
        <x:v>기본 Archive 가능 / 동적선정 추가자료 필요</x:v>
      </x:c>
      <x:c r="AB23" s="94" t="str"/>
    </x:row>
    <x:row r="24" ht="30" customHeight="1">
      <x:c r="A24" s="94" t="n">
        <x:v>22</x:v>
      </x:c>
      <x:c r="B24" s="94" t="str">
        <x:v>42SJM0425-24B(42SHD0425-24B).pdf</x:v>
      </x:c>
      <x:c r="C24" s="94" t="str">
        <x:v>42SJM0425-24B</x:v>
      </x:c>
      <x:c r="D24" s="94" t="str">
        <x:v>42SJM0425-24B</x:v>
      </x:c>
      <x:c r="E24" s="94" t="str">
        <x:v>Y</x:v>
      </x:c>
      <x:c r="F24" s="94" t="str">
        <x:v>Mocoze</x:v>
      </x:c>
      <x:c r="G24" s="94" t="str">
        <x:v>2 Phase Stepping Motor</x:v>
      </x:c>
      <x:c r="H24" s="95" t="n">
        <x:v>1.8</x:v>
      </x:c>
      <x:c r="I24" s="95" t="n">
        <x:v>42</x:v>
      </x:c>
      <x:c r="J24" s="95" t="n">
        <x:v>48</x:v>
      </x:c>
      <x:c r="K24" s="94" t="n">
        <x:v>2</x:v>
      </x:c>
      <x:c r="L24" s="96"/>
      <x:c r="M24" s="96" t="n">
        <x:v>2.5</x:v>
      </x:c>
      <x:c r="N24" s="97" t="n">
        <x:v>550</x:v>
      </x:c>
      <x:c r="O24" s="97" t="n">
        <x:f>N24/1000</x:f>
        <x:v>0.55</x:v>
      </x:c>
      <x:c r="P24" s="96" t="n">
        <x:v>2</x:v>
      </x:c>
      <x:c r="Q24" s="96" t="n">
        <x:v>2.4</x:v>
      </x:c>
      <x:c r="R24" s="96" t="n">
        <x:v>82</x:v>
      </x:c>
      <x:c r="S24" s="97" t="n">
        <x:v>0.42</x:v>
      </x:c>
      <x:c r="T24" s="94"/>
      <x:c r="U24" s="94" t="n">
        <x:v>4</x:v>
      </x:c>
      <x:c r="V24" s="94" t="str">
        <x:v>Bipolar</x:v>
      </x:c>
      <x:c r="W24" s="95"/>
      <x:c r="X24" s="95"/>
      <x:c r="Y24" s="94"/>
      <x:c r="Z24" s="94" t="str">
        <x:v>Encoder / Brake / Gearhead / Connector</x:v>
      </x:c>
      <x:c r="AA24" s="94" t="str">
        <x:v>기본 Archive 가능 / 동적선정 추가자료 필요</x:v>
      </x:c>
      <x:c r="AB24" s="94" t="str"/>
    </x:row>
    <x:row r="25" ht="30" customHeight="1">
      <x:c r="A25" s="94" t="n">
        <x:v>23</x:v>
      </x:c>
      <x:c r="B25" s="94" t="str">
        <x:v>35SJM4021-20(35SHD4021-20).pdf</x:v>
      </x:c>
      <x:c r="C25" s="94" t="str">
        <x:v>35SJM4021-20</x:v>
      </x:c>
      <x:c r="D25" s="94" t="str">
        <x:v>35SJM4021-20</x:v>
      </x:c>
      <x:c r="E25" s="94" t="str">
        <x:v>Y</x:v>
      </x:c>
      <x:c r="F25" s="94" t="str">
        <x:v>Mocoze</x:v>
      </x:c>
      <x:c r="G25" s="94" t="str">
        <x:v>2 Phase Stepping Motor</x:v>
      </x:c>
      <x:c r="H25" s="95" t="n">
        <x:v>1.8</x:v>
      </x:c>
      <x:c r="I25" s="95" t="n">
        <x:v>35</x:v>
      </x:c>
      <x:c r="J25" s="95" t="n">
        <x:v>26</x:v>
      </x:c>
      <x:c r="K25" s="94" t="n">
        <x:v>2</x:v>
      </x:c>
      <x:c r="L25" s="96"/>
      <x:c r="M25" s="96" t="n">
        <x:v>0.7</x:v>
      </x:c>
      <x:c r="N25" s="97" t="n">
        <x:v>100</x:v>
      </x:c>
      <x:c r="O25" s="97" t="n">
        <x:f>N25/1000</x:f>
        <x:v>0.1</x:v>
      </x:c>
      <x:c r="P25" s="96" t="n">
        <x:v>6.5</x:v>
      </x:c>
      <x:c r="Q25" s="96" t="n">
        <x:v>6</x:v>
      </x:c>
      <x:c r="R25" s="96" t="n">
        <x:v>12</x:v>
      </x:c>
      <x:c r="S25" s="97" t="n">
        <x:v>0.15</x:v>
      </x:c>
      <x:c r="T25" s="94" t="str">
        <x:v>Class B</x:v>
      </x:c>
      <x:c r="U25" s="94"/>
      <x:c r="V25" s="94" t="str">
        <x:v>Lead Wire</x:v>
      </x:c>
      <x:c r="W25" s="95" t="n">
        <x:v>350</x:v>
      </x:c>
      <x:c r="X25" s="95"/>
      <x:c r="Y25" s="94"/>
      <x:c r="Z25" s="94" t="str">
        <x:v>Encoder / Brake / Gearhead / Connector</x:v>
      </x:c>
      <x:c r="AA25" s="94" t="str">
        <x:v>기본 Archive 가능 / 동적선정 추가자료 필요</x:v>
      </x:c>
      <x:c r="AB25" s="94" t="str"/>
    </x:row>
    <x:row r="26" ht="30" customHeight="1">
      <x:c r="A26" s="94" t="n">
        <x:v>24</x:v>
      </x:c>
      <x:c r="B26" s="94" t="str">
        <x:v>35SJM4103-10B(35SHD4103-10B).pdf</x:v>
      </x:c>
      <x:c r="C26" s="94" t="str">
        <x:v>35SJM4103-10B</x:v>
      </x:c>
      <x:c r="D26" s="94" t="str">
        <x:v>35SJM4103-10B</x:v>
      </x:c>
      <x:c r="E26" s="94" t="str">
        <x:v>Y</x:v>
      </x:c>
      <x:c r="F26" s="94" t="str">
        <x:v>Mocoze</x:v>
      </x:c>
      <x:c r="G26" s="94" t="str">
        <x:v>2 Phase Stepping Motor</x:v>
      </x:c>
      <x:c r="H26" s="95" t="n">
        <x:v>1.8</x:v>
      </x:c>
      <x:c r="I26" s="95" t="n">
        <x:v>35</x:v>
      </x:c>
      <x:c r="J26" s="95" t="n">
        <x:v>34</x:v>
      </x:c>
      <x:c r="K26" s="94" t="n">
        <x:v>2</x:v>
      </x:c>
      <x:c r="L26" s="96"/>
      <x:c r="M26" s="96" t="n">
        <x:v>1</x:v>
      </x:c>
      <x:c r="N26" s="97" t="n">
        <x:v>155</x:v>
      </x:c>
      <x:c r="O26" s="97" t="n">
        <x:f>N26/1000</x:f>
        <x:v>0.155</x:v>
      </x:c>
      <x:c r="P26" s="96" t="n">
        <x:v>3.8</x:v>
      </x:c>
      <x:c r="Q26" s="96" t="n">
        <x:v>5.8</x:v>
      </x:c>
      <x:c r="R26" s="96" t="n">
        <x:v>14</x:v>
      </x:c>
      <x:c r="S26" s="97" t="n">
        <x:v>0.18</x:v>
      </x:c>
      <x:c r="T26" s="94" t="str">
        <x:v>Class B</x:v>
      </x:c>
      <x:c r="U26" s="94"/>
      <x:c r="V26" s="94" t="str">
        <x:v>Lead Wire</x:v>
      </x:c>
      <x:c r="W26" s="95" t="n">
        <x:v>300</x:v>
      </x:c>
      <x:c r="X26" s="95"/>
      <x:c r="Y26" s="94"/>
      <x:c r="Z26" s="94" t="str">
        <x:v>Encoder / Brake / Gearhead / Connector</x:v>
      </x:c>
      <x:c r="AA26" s="94" t="str">
        <x:v>기본 Archive 가능 / 동적선정 추가자료 필요</x:v>
      </x:c>
      <x:c r="AB26" s="94" t="str"/>
    </x:row>
    <x:row r="27" ht="30" customHeight="1">
      <x:c r="A27" s="94" t="n">
        <x:v>25</x:v>
      </x:c>
      <x:c r="B27" s="94" t="str">
        <x:v>39SJM4101-10(39SHD4101-10).pdf</x:v>
      </x:c>
      <x:c r="C27" s="94" t="str">
        <x:v>39SJM4101-10</x:v>
      </x:c>
      <x:c r="D27" s="94" t="str">
        <x:v>39SJM4101-10</x:v>
      </x:c>
      <x:c r="E27" s="94" t="str">
        <x:v>Y</x:v>
      </x:c>
      <x:c r="F27" s="94" t="str">
        <x:v>Mocoze</x:v>
      </x:c>
      <x:c r="G27" s="94" t="str">
        <x:v>2 Phase Stepping Motor</x:v>
      </x:c>
      <x:c r="H27" s="95" t="n">
        <x:v>1.8</x:v>
      </x:c>
      <x:c r="I27" s="95" t="n">
        <x:v>39</x:v>
      </x:c>
      <x:c r="J27" s="95" t="n">
        <x:v>27</x:v>
      </x:c>
      <x:c r="K27" s="94" t="n">
        <x:v>2</x:v>
      </x:c>
      <x:c r="L27" s="96"/>
      <x:c r="M27" s="96" t="n">
        <x:v>0.4</x:v>
      </x:c>
      <x:c r="N27" s="97" t="n">
        <x:v>155</x:v>
      </x:c>
      <x:c r="O27" s="97" t="n">
        <x:f>N27/1000</x:f>
        <x:v>0.155</x:v>
      </x:c>
      <x:c r="P27" s="96" t="n">
        <x:v>23.1</x:v>
      </x:c>
      <x:c r="Q27" s="96" t="n">
        <x:v>25</x:v>
      </x:c>
      <x:c r="R27" s="96" t="n">
        <x:v>15</x:v>
      </x:c>
      <x:c r="S27" s="97" t="n">
        <x:v>0.17</x:v>
      </x:c>
      <x:c r="T27" s="94"/>
      <x:c r="U27" s="94" t="n">
        <x:v>4</x:v>
      </x:c>
      <x:c r="V27" s="94" t="str">
        <x:v>Bipolar</x:v>
      </x:c>
      <x:c r="W27" s="95"/>
      <x:c r="X27" s="95"/>
      <x:c r="Y27" s="94"/>
      <x:c r="Z27" s="94" t="str">
        <x:v>Encoder / Brake / Gearhead / Connector</x:v>
      </x:c>
      <x:c r="AA27" s="94" t="str">
        <x:v>기본 Archive 가능 / 동적선정 추가자료 필요</x:v>
      </x:c>
      <x:c r="AB27" s="94" t="str">
        <x:v>P1 Highlight Holding Torque 120 mN·m vs P2 사양표 155 mN·m - 확인 필요</x:v>
      </x:c>
    </x:row>
    <x:row r="28" ht="30" customHeight="1">
      <x:c r="A28" s="94" t="n">
        <x:v>26</x:v>
      </x:c>
      <x:c r="B28" s="94" t="str">
        <x:v>39SJM4301-20(39SHD4301-20).pdf</x:v>
      </x:c>
      <x:c r="C28" s="94" t="str">
        <x:v>39SJM4301-20</x:v>
      </x:c>
      <x:c r="D28" s="94" t="str">
        <x:v>39SJM4301-20</x:v>
      </x:c>
      <x:c r="E28" s="94" t="str">
        <x:v>Y</x:v>
      </x:c>
      <x:c r="F28" s="94" t="str">
        <x:v>Mocoze</x:v>
      </x:c>
      <x:c r="G28" s="94" t="str">
        <x:v>2 Phase Stepping Motor</x:v>
      </x:c>
      <x:c r="H28" s="95" t="n">
        <x:v>1.8</x:v>
      </x:c>
      <x:c r="I28" s="95" t="n">
        <x:v>39</x:v>
      </x:c>
      <x:c r="J28" s="95" t="n">
        <x:v>34</x:v>
      </x:c>
      <x:c r="K28" s="94" t="n">
        <x:v>2</x:v>
      </x:c>
      <x:c r="L28" s="96"/>
      <x:c r="M28" s="96" t="n">
        <x:v>1</x:v>
      </x:c>
      <x:c r="N28" s="97" t="n">
        <x:v>150</x:v>
      </x:c>
      <x:c r="O28" s="97" t="n">
        <x:f>N28/1000</x:f>
        <x:v>0.15</x:v>
      </x:c>
      <x:c r="P28" s="96" t="n">
        <x:v>4.5</x:v>
      </x:c>
      <x:c r="Q28" s="96" t="n">
        <x:v>5.1</x:v>
      </x:c>
      <x:c r="R28" s="96" t="n">
        <x:v>20</x:v>
      </x:c>
      <x:c r="S28" s="97" t="n">
        <x:v>0.18</x:v>
      </x:c>
      <x:c r="T28" s="94" t="str">
        <x:v>Class B</x:v>
      </x:c>
      <x:c r="U28" s="94"/>
      <x:c r="V28" s="94" t="str">
        <x:v>Lead Wire</x:v>
      </x:c>
      <x:c r="W28" s="95" t="n">
        <x:v>300</x:v>
      </x:c>
      <x:c r="X28" s="95"/>
      <x:c r="Y28" s="94"/>
      <x:c r="Z28" s="94" t="str">
        <x:v>Encoder / Brake / Gearhead / Connector</x:v>
      </x:c>
      <x:c r="AA28" s="94" t="str">
        <x:v>기본 Archive 가능 / 동적선정 추가자료 필요</x:v>
      </x:c>
      <x:c r="AB28" s="94" t="str"/>
    </x:row>
    <x:row r="29" ht="30" customHeight="1">
      <x:c r="A29" s="94" t="n">
        <x:v>27</x:v>
      </x:c>
      <x:c r="B29" s="94" t="str">
        <x:v>39SJM4302-22(39SHD4302-22).pdf</x:v>
      </x:c>
      <x:c r="C29" s="94" t="str">
        <x:v>39SJM4302-22</x:v>
      </x:c>
      <x:c r="D29" s="94" t="str">
        <x:v>39SJM4302-22</x:v>
      </x:c>
      <x:c r="E29" s="94" t="str">
        <x:v>Y</x:v>
      </x:c>
      <x:c r="F29" s="94" t="str">
        <x:v>Mocoze</x:v>
      </x:c>
      <x:c r="G29" s="94" t="str">
        <x:v>2 Phase Stepping Motor</x:v>
      </x:c>
      <x:c r="H29" s="95" t="n">
        <x:v>1.8</x:v>
      </x:c>
      <x:c r="I29" s="95" t="n">
        <x:v>39</x:v>
      </x:c>
      <x:c r="J29" s="95" t="n">
        <x:v>34</x:v>
      </x:c>
      <x:c r="K29" s="94" t="n">
        <x:v>2</x:v>
      </x:c>
      <x:c r="L29" s="96"/>
      <x:c r="M29" s="96" t="n">
        <x:v>0.4</x:v>
      </x:c>
      <x:c r="N29" s="97" t="n">
        <x:v>220</x:v>
      </x:c>
      <x:c r="O29" s="97" t="n">
        <x:f>N29/1000</x:f>
        <x:v>0.22</x:v>
      </x:c>
      <x:c r="P29" s="96" t="n">
        <x:v>35</x:v>
      </x:c>
      <x:c r="Q29" s="96" t="n">
        <x:v>45</x:v>
      </x:c>
      <x:c r="R29" s="96" t="n">
        <x:v>20</x:v>
      </x:c>
      <x:c r="S29" s="97" t="n">
        <x:v>0.18</x:v>
      </x:c>
      <x:c r="T29" s="94" t="str">
        <x:v>Class B</x:v>
      </x:c>
      <x:c r="U29" s="94"/>
      <x:c r="V29" s="94" t="str">
        <x:v>Lead Wire</x:v>
      </x:c>
      <x:c r="W29" s="95" t="n">
        <x:v>300</x:v>
      </x:c>
      <x:c r="X29" s="95"/>
      <x:c r="Y29" s="94"/>
      <x:c r="Z29" s="94" t="str">
        <x:v>Encoder / Brake / Gearhead / Connector</x:v>
      </x:c>
      <x:c r="AA29" s="94" t="str">
        <x:v>기본 Archive 가능 / 동적선정 추가자료 필요</x:v>
      </x:c>
      <x:c r="AB29" s="94" t="str"/>
    </x:row>
    <x:row r="30" ht="30" customHeight="1">
      <x:c r="A30" s="94" t="n">
        <x:v>28</x:v>
      </x:c>
      <x:c r="B30" s="94" t="str">
        <x:v>39SJM4314-18A(39SHD4314-18A).pdf</x:v>
      </x:c>
      <x:c r="C30" s="94" t="str">
        <x:v>39SJM4314-18A</x:v>
      </x:c>
      <x:c r="D30" s="94" t="str">
        <x:v>39SJM4314-18A</x:v>
      </x:c>
      <x:c r="E30" s="94" t="str">
        <x:v>Y</x:v>
      </x:c>
      <x:c r="F30" s="94" t="str">
        <x:v>Mocoze</x:v>
      </x:c>
      <x:c r="G30" s="94" t="str">
        <x:v>2 Phase Stepping Motor</x:v>
      </x:c>
      <x:c r="H30" s="95" t="n">
        <x:v>1.8</x:v>
      </x:c>
      <x:c r="I30" s="95" t="n">
        <x:v>39</x:v>
      </x:c>
      <x:c r="J30" s="95" t="n">
        <x:v>34</x:v>
      </x:c>
      <x:c r="K30" s="94" t="n">
        <x:v>2</x:v>
      </x:c>
      <x:c r="L30" s="96"/>
      <x:c r="M30" s="96" t="n">
        <x:v>1</x:v>
      </x:c>
      <x:c r="N30" s="97" t="n">
        <x:v>189</x:v>
      </x:c>
      <x:c r="O30" s="97" t="n">
        <x:f>N30/1000</x:f>
        <x:v>0.189</x:v>
      </x:c>
      <x:c r="P30" s="96" t="n">
        <x:v>5</x:v>
      </x:c>
      <x:c r="Q30" s="96" t="n">
        <x:v>5.7</x:v>
      </x:c>
      <x:c r="R30" s="96" t="n">
        <x:v>20</x:v>
      </x:c>
      <x:c r="S30" s="97" t="n">
        <x:v>0.18</x:v>
      </x:c>
      <x:c r="T30" s="94"/>
      <x:c r="U30" s="94" t="n">
        <x:v>4</x:v>
      </x:c>
      <x:c r="V30" s="94" t="str">
        <x:v>Bipolar</x:v>
      </x:c>
      <x:c r="W30" s="95"/>
      <x:c r="X30" s="95"/>
      <x:c r="Y30" s="94"/>
      <x:c r="Z30" s="94" t="str">
        <x:v>Encoder / Brake / Gearhead / Connector</x:v>
      </x:c>
      <x:c r="AA30" s="94" t="str">
        <x:v>기본 Archive 가능 / 동적선정 추가자료 필요</x:v>
      </x:c>
      <x:c r="AB30" s="94" t="str"/>
    </x:row>
    <x:row r="31" ht="30" customHeight="1">
      <x:c r="A31" s="94" t="n">
        <x:v>29</x:v>
      </x:c>
      <x:c r="B31" s="94" t="str">
        <x:v>39SJM4317-11(39SHD4317-11).pdf</x:v>
      </x:c>
      <x:c r="C31" s="94" t="str">
        <x:v>39SJM4317-11</x:v>
      </x:c>
      <x:c r="D31" s="94" t="str">
        <x:v>39SJM4317-11</x:v>
      </x:c>
      <x:c r="E31" s="94" t="str">
        <x:v>Y</x:v>
      </x:c>
      <x:c r="F31" s="94" t="str">
        <x:v>Mocoze</x:v>
      </x:c>
      <x:c r="G31" s="94" t="str">
        <x:v>2 Phase Stepping Motor</x:v>
      </x:c>
      <x:c r="H31" s="95" t="n">
        <x:v>1.8</x:v>
      </x:c>
      <x:c r="I31" s="95" t="n">
        <x:v>39</x:v>
      </x:c>
      <x:c r="J31" s="95" t="n">
        <x:v>32</x:v>
      </x:c>
      <x:c r="K31" s="94" t="n">
        <x:v>2</x:v>
      </x:c>
      <x:c r="L31" s="96"/>
      <x:c r="M31" s="96" t="n">
        <x:v>0.6</x:v>
      </x:c>
      <x:c r="N31" s="97" t="n">
        <x:v>220</x:v>
      </x:c>
      <x:c r="O31" s="97" t="n">
        <x:f>N31/1000</x:f>
        <x:v>0.22</x:v>
      </x:c>
      <x:c r="P31" s="96" t="n">
        <x:v>15</x:v>
      </x:c>
      <x:c r="Q31" s="96" t="n">
        <x:v>18</x:v>
      </x:c>
      <x:c r="R31" s="96" t="n">
        <x:v>20</x:v>
      </x:c>
      <x:c r="S31" s="97" t="n">
        <x:v>0.18</x:v>
      </x:c>
      <x:c r="T31" s="94"/>
      <x:c r="U31" s="94" t="n">
        <x:v>4</x:v>
      </x:c>
      <x:c r="V31" s="94" t="str">
        <x:v>Bipolar</x:v>
      </x:c>
      <x:c r="W31" s="95"/>
      <x:c r="X31" s="95"/>
      <x:c r="Y31" s="94"/>
      <x:c r="Z31" s="94" t="str">
        <x:v>Encoder / Brake / Gearhead / Connector</x:v>
      </x:c>
      <x:c r="AA31" s="94" t="str">
        <x:v>기본 Archive 가능 / 동적선정 추가자료 필요</x:v>
      </x:c>
      <x:c r="AB31" s="94" t="str">
        <x:v>P1 Highlight Rated Current 0.4 A vs P2 사양표 0.6 A - 확인 필요</x:v>
      </x:c>
    </x:row>
    <x:row r="32" ht="30" customHeight="1">
      <x:c r="A32" s="94" t="n">
        <x:v>30</x:v>
      </x:c>
      <x:c r="B32" s="94" t="str">
        <x:v>39SJM4504-20(39SHD4504-20).pdf</x:v>
      </x:c>
      <x:c r="C32" s="94" t="str">
        <x:v>39SJM4504-20</x:v>
      </x:c>
      <x:c r="D32" s="94" t="str">
        <x:v>39SJM4504-20</x:v>
      </x:c>
      <x:c r="E32" s="94" t="str">
        <x:v>Y</x:v>
      </x:c>
      <x:c r="F32" s="94" t="str">
        <x:v>Mocoze</x:v>
      </x:c>
      <x:c r="G32" s="94" t="str">
        <x:v>2 Phase Stepping Motor</x:v>
      </x:c>
      <x:c r="H32" s="95" t="n">
        <x:v>1.8</x:v>
      </x:c>
      <x:c r="I32" s="95" t="n">
        <x:v>39</x:v>
      </x:c>
      <x:c r="J32" s="95" t="n">
        <x:v>22</x:v>
      </x:c>
      <x:c r="K32" s="94" t="n">
        <x:v>2</x:v>
      </x:c>
      <x:c r="L32" s="96"/>
      <x:c r="M32" s="96" t="n">
        <x:v>0.4</x:v>
      </x:c>
      <x:c r="N32" s="97" t="n">
        <x:v>100</x:v>
      </x:c>
      <x:c r="O32" s="97" t="n">
        <x:f>N32/1000</x:f>
        <x:v>0.1</x:v>
      </x:c>
      <x:c r="P32" s="96" t="n">
        <x:v>30</x:v>
      </x:c>
      <x:c r="Q32" s="96" t="n">
        <x:v>26</x:v>
      </x:c>
      <x:c r="R32" s="96" t="n">
        <x:v>15</x:v>
      </x:c>
      <x:c r="S32" s="97" t="n">
        <x:v>0.17</x:v>
      </x:c>
      <x:c r="T32" s="94" t="str">
        <x:v>Class B</x:v>
      </x:c>
      <x:c r="U32" s="94"/>
      <x:c r="V32" s="94" t="str">
        <x:v>Lead Wire</x:v>
      </x:c>
      <x:c r="W32" s="95" t="n">
        <x:v>350</x:v>
      </x:c>
      <x:c r="X32" s="95"/>
      <x:c r="Y32" s="94"/>
      <x:c r="Z32" s="94" t="str">
        <x:v>Encoder / Brake / Gearhead / Connector</x:v>
      </x:c>
      <x:c r="AA32" s="94" t="str">
        <x:v>기본 Archive 가능 / 동적선정 추가자료 필요</x:v>
      </x:c>
      <x:c r="AB32" s="94" t="str"/>
    </x:row>
    <x:row r="33" ht="30" customHeight="1">
      <x:c r="A33" s="94" t="n">
        <x:v>31</x:v>
      </x:c>
      <x:c r="B33" s="94" t="str">
        <x:v>42SHB0509-24BH(42SHB0509-24BH).pdf</x:v>
      </x:c>
      <x:c r="C33" s="94" t="str">
        <x:v>42SHB0509-24BH</x:v>
      </x:c>
      <x:c r="D33" s="94" t="str">
        <x:v>42SHB0509-24BH</x:v>
      </x:c>
      <x:c r="E33" s="94" t="str">
        <x:v>Y</x:v>
      </x:c>
      <x:c r="F33" s="94" t="str">
        <x:v>Mocoze</x:v>
      </x:c>
      <x:c r="G33" s="94" t="str">
        <x:v>2 Phase Stepping Motor</x:v>
      </x:c>
      <x:c r="H33" s="95" t="n">
        <x:v>1.8</x:v>
      </x:c>
      <x:c r="I33" s="95" t="n">
        <x:v>42</x:v>
      </x:c>
      <x:c r="J33" s="95" t="n">
        <x:v>40</x:v>
      </x:c>
      <x:c r="K33" s="94" t="n">
        <x:v>2</x:v>
      </x:c>
      <x:c r="L33" s="96"/>
      <x:c r="M33" s="96" t="n">
        <x:v>0.9</x:v>
      </x:c>
      <x:c r="N33" s="97" t="n">
        <x:v>350</x:v>
      </x:c>
      <x:c r="O33" s="97" t="n">
        <x:f>N33/1000</x:f>
        <x:v>0.35</x:v>
      </x:c>
      <x:c r="P33" s="96" t="n">
        <x:v>2.2</x:v>
      </x:c>
      <x:c r="Q33" s="96" t="n">
        <x:v>5</x:v>
      </x:c>
      <x:c r="R33" s="96" t="n">
        <x:v>57</x:v>
      </x:c>
      <x:c r="S33" s="97" t="n">
        <x:v>0.24</x:v>
      </x:c>
      <x:c r="T33" s="94" t="str">
        <x:v>Class B</x:v>
      </x:c>
      <x:c r="U33" s="94"/>
      <x:c r="V33" s="94" t="str">
        <x:v>Plug-in</x:v>
      </x:c>
      <x:c r="W33" s="95" t="n">
        <x:v>300</x:v>
      </x:c>
      <x:c r="X33" s="95"/>
      <x:c r="Y33" s="94"/>
      <x:c r="Z33" s="94" t="str">
        <x:v>Encoder / Brake / Gearhead / Connector</x:v>
      </x:c>
      <x:c r="AA33" s="94" t="str">
        <x:v>기본 Archive 가능 / 동적선정 추가자료 필요</x:v>
      </x:c>
      <x:c r="AB33" s="94" t="str"/>
    </x:row>
    <x:row r="34" ht="30" customHeight="1">
      <x:c r="A34" s="94" t="n">
        <x:v>32</x:v>
      </x:c>
      <x:c r="B34" s="94" t="str">
        <x:v>42SHB4002-17H(42SHB4002-17H).pdf</x:v>
      </x:c>
      <x:c r="C34" s="94" t="str">
        <x:v>42SHB4002-17H</x:v>
      </x:c>
      <x:c r="D34" s="94" t="str">
        <x:v>42SHB4002-17H</x:v>
      </x:c>
      <x:c r="E34" s="94" t="str">
        <x:v>Y</x:v>
      </x:c>
      <x:c r="F34" s="94" t="str">
        <x:v>Mocoze</x:v>
      </x:c>
      <x:c r="G34" s="94" t="str">
        <x:v>2 Phase Stepping Motor</x:v>
      </x:c>
      <x:c r="H34" s="95" t="n">
        <x:v>1.8</x:v>
      </x:c>
      <x:c r="I34" s="95" t="n">
        <x:v>42</x:v>
      </x:c>
      <x:c r="J34" s="95" t="n">
        <x:v>23</x:v>
      </x:c>
      <x:c r="K34" s="94" t="n">
        <x:v>2</x:v>
      </x:c>
      <x:c r="L34" s="96"/>
      <x:c r="M34" s="96" t="n">
        <x:v>1.2</x:v>
      </x:c>
      <x:c r="N34" s="97" t="n">
        <x:v>110</x:v>
      </x:c>
      <x:c r="O34" s="97" t="n">
        <x:f>N34/1000</x:f>
        <x:v>0.11</x:v>
      </x:c>
      <x:c r="P34" s="96" t="n">
        <x:v>1.65</x:v>
      </x:c>
      <x:c r="Q34" s="96" t="n">
        <x:v>37</x:v>
      </x:c>
      <x:c r="R34" s="96" t="n">
        <x:v>72</x:v>
      </x:c>
      <x:c r="S34" s="97" t="n">
        <x:v>0.38</x:v>
      </x:c>
      <x:c r="T34" s="94" t="str">
        <x:v>Class B</x:v>
      </x:c>
      <x:c r="U34" s="94"/>
      <x:c r="V34" s="94" t="str">
        <x:v>Lead Wire</x:v>
      </x:c>
      <x:c r="W34" s="95" t="n">
        <x:v>300</x:v>
      </x:c>
      <x:c r="X34" s="95"/>
      <x:c r="Y34" s="94"/>
      <x:c r="Z34" s="94" t="str">
        <x:v>Encoder / Brake / Gearhead / Connector</x:v>
      </x:c>
      <x:c r="AA34" s="94" t="str">
        <x:v>기본 Archive 가능 / 동적선정 추가자료 필요</x:v>
      </x:c>
      <x:c r="AB34" s="94" t="str"/>
    </x:row>
    <x:row r="35" ht="30" customHeight="1">
      <x:c r="A35" s="94" t="n">
        <x:v>33</x:v>
      </x:c>
      <x:c r="B35" s="94" t="str">
        <x:v>42SHF3202-22L1(42SHF3202-22L1).pdf</x:v>
      </x:c>
      <x:c r="C35" s="94" t="str">
        <x:v>42SHF3202-22L1</x:v>
      </x:c>
      <x:c r="D35" s="94" t="str">
        <x:v>42SHF3202-22L1</x:v>
      </x:c>
      <x:c r="E35" s="94" t="str">
        <x:v>Y</x:v>
      </x:c>
      <x:c r="F35" s="94" t="str">
        <x:v>Mocoze</x:v>
      </x:c>
      <x:c r="G35" s="94" t="str">
        <x:v>2 Phase Stepping Motor</x:v>
      </x:c>
      <x:c r="H35" s="95" t="n">
        <x:v>1.2</x:v>
      </x:c>
      <x:c r="I35" s="95" t="n">
        <x:v>42</x:v>
      </x:c>
      <x:c r="J35" s="95" t="n">
        <x:v>40</x:v>
      </x:c>
      <x:c r="K35" s="94" t="n">
        <x:v>2</x:v>
      </x:c>
      <x:c r="L35" s="96"/>
      <x:c r="M35" s="96" t="n">
        <x:v>1.2</x:v>
      </x:c>
      <x:c r="N35" s="97" t="n">
        <x:v>360</x:v>
      </x:c>
      <x:c r="O35" s="97" t="n">
        <x:f>N35/1000</x:f>
        <x:v>0.36</x:v>
      </x:c>
      <x:c r="P35" s="96" t="n">
        <x:v>9</x:v>
      </x:c>
      <x:c r="Q35" s="96" t="n">
        <x:v>10.3</x:v>
      </x:c>
      <x:c r="R35" s="96" t="n">
        <x:v>57</x:v>
      </x:c>
      <x:c r="S35" s="97" t="n">
        <x:v>0.24</x:v>
      </x:c>
      <x:c r="T35" s="94" t="str">
        <x:v>Class B</x:v>
      </x:c>
      <x:c r="U35" s="94"/>
      <x:c r="V35" s="94" t="str">
        <x:v>Lead Wire</x:v>
      </x:c>
      <x:c r="W35" s="95" t="n">
        <x:v>230</x:v>
      </x:c>
      <x:c r="X35" s="95"/>
      <x:c r="Y35" s="94"/>
      <x:c r="Z35" s="94" t="str">
        <x:v>Encoder / Brake / Gearhead / Connector</x:v>
      </x:c>
      <x:c r="AA35" s="94" t="str">
        <x:v>기본 Archive 가능 / 동적선정 추가자료 필요</x:v>
      </x:c>
      <x:c r="AB35" s="94" t="str">
        <x:v>Step Angle 1.2° 모델</x:v>
      </x:c>
    </x:row>
    <x:row r="36" ht="30" customHeight="1">
      <x:c r="A36" s="94" t="n">
        <x:v>34</x:v>
      </x:c>
      <x:c r="B36" s="94" t="str">
        <x:v>42SJM0001-24(42SHD0001-24).pdf</x:v>
      </x:c>
      <x:c r="C36" s="94" t="str">
        <x:v>42SJM0001-24</x:v>
      </x:c>
      <x:c r="D36" s="94" t="str">
        <x:v>42SJM0001-24</x:v>
      </x:c>
      <x:c r="E36" s="94" t="str">
        <x:v>Y</x:v>
      </x:c>
      <x:c r="F36" s="94" t="str">
        <x:v>Mocoze</x:v>
      </x:c>
      <x:c r="G36" s="94" t="str">
        <x:v>2 Phase Stepping Motor</x:v>
      </x:c>
      <x:c r="H36" s="95" t="n">
        <x:v>1.8</x:v>
      </x:c>
      <x:c r="I36" s="95" t="n">
        <x:v>42</x:v>
      </x:c>
      <x:c r="J36" s="95" t="n">
        <x:v>34</x:v>
      </x:c>
      <x:c r="K36" s="94" t="n">
        <x:v>2</x:v>
      </x:c>
      <x:c r="L36" s="96"/>
      <x:c r="M36" s="96" t="n">
        <x:v>0.4</x:v>
      </x:c>
      <x:c r="N36" s="97" t="n">
        <x:v>260</x:v>
      </x:c>
      <x:c r="O36" s="97" t="n">
        <x:f>N36/1000</x:f>
        <x:v>0.26</x:v>
      </x:c>
      <x:c r="P36" s="96" t="n">
        <x:v>30</x:v>
      </x:c>
      <x:c r="Q36" s="96" t="n">
        <x:v>37</x:v>
      </x:c>
      <x:c r="R36" s="96" t="n">
        <x:v>38</x:v>
      </x:c>
      <x:c r="S36" s="97" t="n">
        <x:v>0.2</x:v>
      </x:c>
      <x:c r="T36" s="94"/>
      <x:c r="U36" s="94" t="n">
        <x:v>4</x:v>
      </x:c>
      <x:c r="V36" s="94" t="str">
        <x:v>Bipolar</x:v>
      </x:c>
      <x:c r="W36" s="95"/>
      <x:c r="X36" s="95"/>
      <x:c r="Y36" s="94"/>
      <x:c r="Z36" s="94" t="str">
        <x:v>Encoder / Brake / Gearhead / Connector</x:v>
      </x:c>
      <x:c r="AA36" s="94" t="str">
        <x:v>기본 Archive 가능 / 동적선정 추가자료 필요</x:v>
      </x:c>
      <x:c r="AB36" s="94" t="str"/>
    </x:row>
    <x:row r="37" ht="30" customHeight="1">
      <x:c r="A37" s="94" t="n">
        <x:v>35</x:v>
      </x:c>
      <x:c r="B37" s="94" t="str">
        <x:v>42SJM0287-24B(42SHD0287-24B).pdf</x:v>
      </x:c>
      <x:c r="C37" s="94" t="str">
        <x:v>42SJM0287-24B</x:v>
      </x:c>
      <x:c r="D37" s="94" t="str">
        <x:v>42SJM0287-24B</x:v>
      </x:c>
      <x:c r="E37" s="94" t="str">
        <x:v>Y</x:v>
      </x:c>
      <x:c r="F37" s="94" t="str">
        <x:v>Mocoze</x:v>
      </x:c>
      <x:c r="G37" s="94" t="str">
        <x:v>2 Phase Stepping Motor</x:v>
      </x:c>
      <x:c r="H37" s="95" t="n">
        <x:v>1.8</x:v>
      </x:c>
      <x:c r="I37" s="95" t="n">
        <x:v>42</x:v>
      </x:c>
      <x:c r="J37" s="95" t="n">
        <x:v>40</x:v>
      </x:c>
      <x:c r="K37" s="94" t="n">
        <x:v>2</x:v>
      </x:c>
      <x:c r="L37" s="96"/>
      <x:c r="M37" s="96" t="n">
        <x:v>1.5</x:v>
      </x:c>
      <x:c r="N37" s="97" t="n">
        <x:v>450</x:v>
      </x:c>
      <x:c r="O37" s="97" t="n">
        <x:f>N37/1000</x:f>
        <x:v>0.45</x:v>
      </x:c>
      <x:c r="P37" s="96" t="n">
        <x:v>2.3</x:v>
      </x:c>
      <x:c r="Q37" s="96" t="n">
        <x:v>4.4</x:v>
      </x:c>
      <x:c r="R37" s="96" t="n">
        <x:v>57</x:v>
      </x:c>
      <x:c r="S37" s="97" t="n">
        <x:v>0.24</x:v>
      </x:c>
      <x:c r="T37" s="94" t="str">
        <x:v>Class B</x:v>
      </x:c>
      <x:c r="U37" s="94"/>
      <x:c r="V37" s="94" t="str">
        <x:v>Plug-in</x:v>
      </x:c>
      <x:c r="W37" s="95" t="n">
        <x:v>300</x:v>
      </x:c>
      <x:c r="X37" s="95"/>
      <x:c r="Y37" s="94"/>
      <x:c r="Z37" s="94" t="str">
        <x:v>Encoder / Brake / Gearhead / Connector</x:v>
      </x:c>
      <x:c r="AA37" s="94" t="str">
        <x:v>기본 Archive 가능 / 동적선정 추가자료 필요</x:v>
      </x:c>
      <x:c r="AB37" s="94" t="str"/>
    </x:row>
    <x:row r="38" ht="30" customHeight="1">
      <x:c r="A38" s="94" t="n">
        <x:v>36</x:v>
      </x:c>
      <x:c r="B38" s="94" t="str">
        <x:v>42SJM0287-24BH(42SHD0287-24BH).pdf</x:v>
      </x:c>
      <x:c r="C38" s="94" t="str">
        <x:v>42SJM0287-24BH</x:v>
      </x:c>
      <x:c r="D38" s="94" t="str">
        <x:v>42SJM0287-24BH</x:v>
      </x:c>
      <x:c r="E38" s="94" t="str">
        <x:v>Y</x:v>
      </x:c>
      <x:c r="F38" s="94" t="str">
        <x:v>Mocoze</x:v>
      </x:c>
      <x:c r="G38" s="94" t="str">
        <x:v>2 Phase Stepping Motor</x:v>
      </x:c>
      <x:c r="H38" s="95" t="n">
        <x:v>1.8</x:v>
      </x:c>
      <x:c r="I38" s="95" t="n">
        <x:v>42</x:v>
      </x:c>
      <x:c r="J38" s="95" t="n">
        <x:v>40</x:v>
      </x:c>
      <x:c r="K38" s="94" t="n">
        <x:v>2</x:v>
      </x:c>
      <x:c r="L38" s="96"/>
      <x:c r="M38" s="96" t="n">
        <x:v>1.5</x:v>
      </x:c>
      <x:c r="N38" s="97" t="n">
        <x:v>450</x:v>
      </x:c>
      <x:c r="O38" s="97" t="n">
        <x:f>N38/1000</x:f>
        <x:v>0.45</x:v>
      </x:c>
      <x:c r="P38" s="96" t="n">
        <x:v>2.3</x:v>
      </x:c>
      <x:c r="Q38" s="96" t="n">
        <x:v>4.4</x:v>
      </x:c>
      <x:c r="R38" s="96" t="n">
        <x:v>57</x:v>
      </x:c>
      <x:c r="S38" s="97" t="n">
        <x:v>0.24</x:v>
      </x:c>
      <x:c r="T38" s="94" t="str">
        <x:v>Class B</x:v>
      </x:c>
      <x:c r="U38" s="94"/>
      <x:c r="V38" s="94" t="str">
        <x:v>Plug-in</x:v>
      </x:c>
      <x:c r="W38" s="95" t="n">
        <x:v>300</x:v>
      </x:c>
      <x:c r="X38" s="95"/>
      <x:c r="Y38" s="94"/>
      <x:c r="Z38" s="94" t="str">
        <x:v>Encoder / Brake / Gearhead / Connector</x:v>
      </x:c>
      <x:c r="AA38" s="94" t="str">
        <x:v>기본 Archive 가능 / 동적선정 추가자료 필요</x:v>
      </x:c>
      <x:c r="AB38" s="94" t="str"/>
    </x:row>
    <x:row r="39" ht="30" customHeight="1">
      <x:c r="A39" s="94" t="n">
        <x:v>37</x:v>
      </x:c>
      <x:c r="B39" s="94" t="str">
        <x:v>42SJM0404-22(42SHD0404-22).pdf</x:v>
      </x:c>
      <x:c r="C39" s="94" t="str">
        <x:v>42SJM0404-22</x:v>
      </x:c>
      <x:c r="D39" s="94" t="str">
        <x:v>42SJM0404-22</x:v>
      </x:c>
      <x:c r="E39" s="94" t="str">
        <x:v>Y</x:v>
      </x:c>
      <x:c r="F39" s="94" t="str">
        <x:v>Mocoze</x:v>
      </x:c>
      <x:c r="G39" s="94" t="str">
        <x:v>2 Phase Stepping Motor</x:v>
      </x:c>
      <x:c r="H39" s="95" t="n">
        <x:v>1.8</x:v>
      </x:c>
      <x:c r="I39" s="95" t="n">
        <x:v>42</x:v>
      </x:c>
      <x:c r="J39" s="95" t="n">
        <x:v>48</x:v>
      </x:c>
      <x:c r="K39" s="94" t="n">
        <x:v>2</x:v>
      </x:c>
      <x:c r="L39" s="96"/>
      <x:c r="M39" s="96" t="n">
        <x:v>1.5</x:v>
      </x:c>
      <x:c r="N39" s="97" t="n">
        <x:v>480</x:v>
      </x:c>
      <x:c r="O39" s="97" t="n">
        <x:f>N39/1000</x:f>
        <x:v>0.48</x:v>
      </x:c>
      <x:c r="P39" s="96" t="n">
        <x:v>2</x:v>
      </x:c>
      <x:c r="Q39" s="96" t="n">
        <x:v>2.8</x:v>
      </x:c>
      <x:c r="R39" s="96" t="n">
        <x:v>72</x:v>
      </x:c>
      <x:c r="S39" s="97" t="n">
        <x:v>0.38</x:v>
      </x:c>
      <x:c r="T39" s="94"/>
      <x:c r="U39" s="94" t="n">
        <x:v>4</x:v>
      </x:c>
      <x:c r="V39" s="94" t="str">
        <x:v>Bipolar</x:v>
      </x:c>
      <x:c r="W39" s="95"/>
      <x:c r="X39" s="95"/>
      <x:c r="Y39" s="94"/>
      <x:c r="Z39" s="94" t="str">
        <x:v>Encoder / Brake / Gearhead / Connector</x:v>
      </x:c>
      <x:c r="AA39" s="94" t="str">
        <x:v>기본 Archive 가능 / 동적선정 추가자료 필요</x:v>
      </x:c>
      <x:c r="AB39" s="94" t="str"/>
    </x:row>
    <x:row r="40" ht="30" customHeight="1">
      <x:c r="A40" s="94" t="n">
        <x:v>38</x:v>
      </x:c>
      <x:c r="B40" s="94" t="str">
        <x:v>42SJM0407-24B(42SHD0407-24B).pdf</x:v>
      </x:c>
      <x:c r="C40" s="94" t="str">
        <x:v>42SJM0407-24B</x:v>
      </x:c>
      <x:c r="D40" s="94" t="str">
        <x:v>42SJM0407-24B</x:v>
      </x:c>
      <x:c r="E40" s="94" t="str">
        <x:v>Y</x:v>
      </x:c>
      <x:c r="F40" s="94" t="str">
        <x:v>Mocoze</x:v>
      </x:c>
      <x:c r="G40" s="94" t="str">
        <x:v>2 Phase Stepping Motor</x:v>
      </x:c>
      <x:c r="H40" s="95" t="n">
        <x:v>1.8</x:v>
      </x:c>
      <x:c r="I40" s="95" t="n">
        <x:v>42</x:v>
      </x:c>
      <x:c r="J40" s="95" t="n">
        <x:v>48</x:v>
      </x:c>
      <x:c r="K40" s="94" t="n">
        <x:v>2</x:v>
      </x:c>
      <x:c r="L40" s="96"/>
      <x:c r="M40" s="96" t="n">
        <x:v>1.2</x:v>
      </x:c>
      <x:c r="N40" s="97" t="n">
        <x:v>350</x:v>
      </x:c>
      <x:c r="O40" s="97" t="n">
        <x:f>N40/1000</x:f>
        <x:v>0.35</x:v>
      </x:c>
      <x:c r="P40" s="96" t="n">
        <x:v>2.2</x:v>
      </x:c>
      <x:c r="Q40" s="96" t="n">
        <x:v>2.8</x:v>
      </x:c>
      <x:c r="R40" s="96" t="n">
        <x:v>72</x:v>
      </x:c>
      <x:c r="S40" s="97" t="n">
        <x:v>0.38</x:v>
      </x:c>
      <x:c r="T40" s="94"/>
      <x:c r="U40" s="94" t="n">
        <x:v>4</x:v>
      </x:c>
      <x:c r="V40" s="94" t="str">
        <x:v>Bipolar</x:v>
      </x:c>
      <x:c r="W40" s="95"/>
      <x:c r="X40" s="95"/>
      <x:c r="Y40" s="94"/>
      <x:c r="Z40" s="94" t="str">
        <x:v>Encoder / Brake / Gearhead / Connector</x:v>
      </x:c>
      <x:c r="AA40" s="94" t="str">
        <x:v>기본 Archive 가능 / 동적선정 추가자료 필요</x:v>
      </x:c>
      <x:c r="AB40" s="94" t="str"/>
    </x:row>
    <x:row r="41" ht="30" customHeight="1">
      <x:c r="A41" s="94" t="n">
        <x:v>39</x:v>
      </x:c>
      <x:c r="B41" s="94" t="str">
        <x:v>42SJM0409-17B(42SHD0409-17B).pdf</x:v>
      </x:c>
      <x:c r="C41" s="94" t="str">
        <x:v>42SJM0409-17B</x:v>
      </x:c>
      <x:c r="D41" s="94" t="str">
        <x:v>42SJM0409-17B</x:v>
      </x:c>
      <x:c r="E41" s="94" t="str">
        <x:v>Y</x:v>
      </x:c>
      <x:c r="F41" s="94" t="str">
        <x:v>Mocoze</x:v>
      </x:c>
      <x:c r="G41" s="94" t="str">
        <x:v>2 Phase Stepping Motor</x:v>
      </x:c>
      <x:c r="H41" s="95" t="n">
        <x:v>1.8</x:v>
      </x:c>
      <x:c r="I41" s="95" t="n">
        <x:v>42</x:v>
      </x:c>
      <x:c r="J41" s="95" t="n">
        <x:v>48</x:v>
      </x:c>
      <x:c r="K41" s="94" t="n">
        <x:v>2</x:v>
      </x:c>
      <x:c r="L41" s="96"/>
      <x:c r="M41" s="96" t="n">
        <x:v>0.5</x:v>
      </x:c>
      <x:c r="N41" s="97" t="n">
        <x:v>420</x:v>
      </x:c>
      <x:c r="O41" s="97" t="n">
        <x:f>N41/1000</x:f>
        <x:v>0.42</x:v>
      </x:c>
      <x:c r="P41" s="96" t="n">
        <x:v>24</x:v>
      </x:c>
      <x:c r="Q41" s="96" t="n">
        <x:v>32</x:v>
      </x:c>
      <x:c r="R41" s="96" t="n">
        <x:v>72</x:v>
      </x:c>
      <x:c r="S41" s="97" t="n">
        <x:v>0.38</x:v>
      </x:c>
      <x:c r="T41" s="94" t="str">
        <x:v>Class B</x:v>
      </x:c>
      <x:c r="U41" s="94"/>
      <x:c r="V41" s="94" t="str">
        <x:v>Plug-in</x:v>
      </x:c>
      <x:c r="W41" s="95" t="n">
        <x:v>300</x:v>
      </x:c>
      <x:c r="X41" s="95"/>
      <x:c r="Y41" s="94"/>
      <x:c r="Z41" s="94" t="str">
        <x:v>Encoder / Brake / Gearhead / Connector</x:v>
      </x:c>
      <x:c r="AA41" s="94" t="str">
        <x:v>기본 Archive 가능 / 동적선정 추가자료 필요</x:v>
      </x:c>
      <x:c r="AB41" s="94" t="str"/>
    </x:row>
    <x:row r="42" ht="30" customHeight="1">
      <x:c r="A42" s="94" t="n">
        <x:v>40</x:v>
      </x:c>
      <x:c r="B42" s="94" t="str">
        <x:v>42SJM0411-24B2H(42SHD0411-24B2H).pdf</x:v>
      </x:c>
      <x:c r="C42" s="94" t="str">
        <x:v>42SJM0411-24B2H</x:v>
      </x:c>
      <x:c r="D42" s="94" t="str">
        <x:v>42SJM0411-24B2H</x:v>
      </x:c>
      <x:c r="E42" s="94" t="str">
        <x:v>Y</x:v>
      </x:c>
      <x:c r="F42" s="94" t="str">
        <x:v>Mocoze</x:v>
      </x:c>
      <x:c r="G42" s="94" t="str">
        <x:v>2 Phase Stepping Motor</x:v>
      </x:c>
      <x:c r="H42" s="95" t="n">
        <x:v>1.8</x:v>
      </x:c>
      <x:c r="I42" s="95" t="n">
        <x:v>42</x:v>
      </x:c>
      <x:c r="J42" s="95" t="n">
        <x:v>48</x:v>
      </x:c>
      <x:c r="K42" s="94" t="n">
        <x:v>2</x:v>
      </x:c>
      <x:c r="L42" s="96"/>
      <x:c r="M42" s="96" t="n">
        <x:v>1.5</x:v>
      </x:c>
      <x:c r="N42" s="97" t="n">
        <x:v>520</x:v>
      </x:c>
      <x:c r="O42" s="97" t="n">
        <x:f>N42/1000</x:f>
        <x:v>0.52</x:v>
      </x:c>
      <x:c r="P42" s="96" t="n">
        <x:v>1.8</x:v>
      </x:c>
      <x:c r="Q42" s="96" t="n">
        <x:v>3.2</x:v>
      </x:c>
      <x:c r="R42" s="96" t="n">
        <x:v>72</x:v>
      </x:c>
      <x:c r="S42" s="97" t="n">
        <x:v>0.4</x:v>
      </x:c>
      <x:c r="T42" s="94" t="str">
        <x:v>Class B</x:v>
      </x:c>
      <x:c r="U42" s="94"/>
      <x:c r="V42" s="94" t="str">
        <x:v>Plug-in</x:v>
      </x:c>
      <x:c r="W42" s="95" t="n">
        <x:v>300</x:v>
      </x:c>
      <x:c r="X42" s="95"/>
      <x:c r="Y42" s="94"/>
      <x:c r="Z42" s="94" t="str">
        <x:v>Encoder / Brake / Gearhead / Connector</x:v>
      </x:c>
      <x:c r="AA42" s="94" t="str">
        <x:v>기본 Archive 가능 / 동적선정 추가자료 필요</x:v>
      </x:c>
      <x:c r="AB42" s="94" t="str"/>
    </x:row>
    <x:row r="43" ht="30" customHeight="1">
      <x:c r="A43" s="22" t="n">
        <x:v>41</x:v>
      </x:c>
      <x:c r="B43" s="22" t="str">
        <x:v>86SJM4508-34H(86SHD4508-34H).pdf</x:v>
      </x:c>
      <x:c r="C43" s="22" t="str">
        <x:v>86SJM4508-34H</x:v>
      </x:c>
      <x:c r="D43" s="22" t="str">
        <x:v>86SJM4508-34H</x:v>
      </x:c>
      <x:c r="E43" s="22" t="str">
        <x:v>Y</x:v>
      </x:c>
      <x:c r="F43" s="22" t="str">
        <x:v>Mocoze</x:v>
      </x:c>
      <x:c r="G43" s="22" t="str">
        <x:v>2 Phase Stepping Motor</x:v>
      </x:c>
      <x:c r="H43" s="24" t="n">
        <x:v>1.8</x:v>
      </x:c>
      <x:c r="I43" s="24" t="n">
        <x:v>86</x:v>
      </x:c>
      <x:c r="J43" s="24" t="n">
        <x:v>149</x:v>
      </x:c>
      <x:c r="K43" s="22" t="n">
        <x:v>2</x:v>
      </x:c>
      <x:c r="L43" s="26"/>
      <x:c r="M43" s="26" t="n">
        <x:v>6</x:v>
      </x:c>
      <x:c r="N43" s="28" t="n">
        <x:v>12000</x:v>
      </x:c>
      <x:c r="O43" s="28" t="n">
        <x:f>N43/1000</x:f>
        <x:v>12</x:v>
      </x:c>
      <x:c r="P43" s="26" t="n">
        <x:v>1</x:v>
      </x:c>
      <x:c r="Q43" s="26" t="n">
        <x:v>5</x:v>
      </x:c>
      <x:c r="R43" s="26" t="n">
        <x:v>3600</x:v>
      </x:c>
      <x:c r="S43" s="28" t="n">
        <x:v>5</x:v>
      </x:c>
      <x:c r="T43" s="22" t="str">
        <x:v>Class B</x:v>
      </x:c>
      <x:c r="U43" s="22"/>
      <x:c r="V43" s="22" t="str">
        <x:v>Lead Wire</x:v>
      </x:c>
      <x:c r="W43" s="24" t="n">
        <x:v>1700</x:v>
      </x:c>
      <x:c r="X43" s="24"/>
      <x:c r="Y43" s="22"/>
      <x:c r="Z43" s="22" t="str">
        <x:v>Encoder / Brake / Gearhead / Connector</x:v>
      </x:c>
      <x:c r="AA43" s="22" t="str">
        <x:v>기본 Archive 가능 / 동적선정 추가자료 필요</x:v>
      </x:c>
      <x:c r="AB43" s="22" t="str">
        <x:v>Holding Torque 원문 12 N·m를 공통단위 12,000 mN·m로 환산</x:v>
      </x:c>
    </x:row>
    <x:row r="44" ht="30" customHeight="1">
      <x:c r="A44" s="22" t="n">
        <x:v>42</x:v>
      </x:c>
      <x:c r="B44" s="22" t="str">
        <x:v>P35SJM0111-28(P35SHD0111-28).pdf</x:v>
      </x:c>
      <x:c r="C44" s="22" t="str">
        <x:v>P35SJM0111-28</x:v>
      </x:c>
      <x:c r="D44" s="22" t="str">
        <x:v>P35SJM0111-28</x:v>
      </x:c>
      <x:c r="E44" s="22" t="str">
        <x:v>Y</x:v>
      </x:c>
      <x:c r="F44" s="22" t="str">
        <x:v>Mocoze</x:v>
      </x:c>
      <x:c r="G44" s="22" t="str">
        <x:v>2 Phase Stepping Motor</x:v>
      </x:c>
      <x:c r="H44" s="24" t="n">
        <x:v>1.8</x:v>
      </x:c>
      <x:c r="I44" s="24" t="n">
        <x:v>35</x:v>
      </x:c>
      <x:c r="J44" s="24" t="n">
        <x:v>34</x:v>
      </x:c>
      <x:c r="K44" s="22" t="n">
        <x:v>2</x:v>
      </x:c>
      <x:c r="L44" s="26"/>
      <x:c r="M44" s="26" t="n">
        <x:v>0.4</x:v>
      </x:c>
      <x:c r="N44" s="28" t="n">
        <x:v>200</x:v>
      </x:c>
      <x:c r="O44" s="28" t="n">
        <x:f>N44/1000</x:f>
        <x:v>0.2</x:v>
      </x:c>
      <x:c r="P44" s="26" t="n">
        <x:v>19</x:v>
      </x:c>
      <x:c r="Q44" s="26" t="n">
        <x:v>39.5</x:v>
      </x:c>
      <x:c r="R44" s="26" t="n">
        <x:v>12</x:v>
      </x:c>
      <x:c r="S44" s="28" t="n">
        <x:v>0.15</x:v>
      </x:c>
      <x:c r="T44" s="22" t="str">
        <x:v>Class B</x:v>
      </x:c>
      <x:c r="U44" s="22"/>
      <x:c r="V44" s="22" t="str">
        <x:v>Plug-in</x:v>
      </x:c>
      <x:c r="W44" s="24" t="n">
        <x:v>300</x:v>
      </x:c>
      <x:c r="X44" s="24"/>
      <x:c r="Y44" s="22"/>
      <x:c r="Z44" s="22" t="str">
        <x:v>Encoder / Brake / Gearhead / Connector</x:v>
      </x:c>
      <x:c r="AA44" s="22" t="str">
        <x:v>기본 Archive 가능 / 동적선정 추가자료 필요</x:v>
      </x:c>
      <x:c r="AB44" s="22" t="str"/>
    </x:row>
    <x:row r="45" ht="30" customHeight="1">
      <x:c r="A45" s="22" t="n">
        <x:v>43</x:v>
      </x:c>
      <x:c r="B45" s="22" t="str">
        <x:v>P35SJM0184-24B(P35SHD0184-24B).pdf</x:v>
      </x:c>
      <x:c r="C45" s="22" t="str">
        <x:v>P35SJM0184-24B</x:v>
      </x:c>
      <x:c r="D45" s="22" t="str">
        <x:v>P35SJM0184-24B</x:v>
      </x:c>
      <x:c r="E45" s="22" t="str">
        <x:v>Y</x:v>
      </x:c>
      <x:c r="F45" s="22" t="str">
        <x:v>Mocoze</x:v>
      </x:c>
      <x:c r="G45" s="22" t="str">
        <x:v>2 Phase Stepping Motor</x:v>
      </x:c>
      <x:c r="H45" s="24" t="n">
        <x:v>1.8</x:v>
      </x:c>
      <x:c r="I45" s="24" t="n">
        <x:v>35</x:v>
      </x:c>
      <x:c r="J45" s="24" t="n">
        <x:v>34</x:v>
      </x:c>
      <x:c r="K45" s="22" t="n">
        <x:v>2</x:v>
      </x:c>
      <x:c r="L45" s="26"/>
      <x:c r="M45" s="26" t="n">
        <x:v>0.32</x:v>
      </x:c>
      <x:c r="N45" s="28" t="n">
        <x:v>240</x:v>
      </x:c>
      <x:c r="O45" s="28" t="n">
        <x:f>N45/1000</x:f>
        <x:v>0.24</x:v>
      </x:c>
      <x:c r="P45" s="26" t="n">
        <x:v>37</x:v>
      </x:c>
      <x:c r="Q45" s="26" t="n">
        <x:v>52</x:v>
      </x:c>
      <x:c r="R45" s="26" t="n">
        <x:v>20</x:v>
      </x:c>
      <x:c r="S45" s="28" t="n">
        <x:v>0.21</x:v>
      </x:c>
      <x:c r="T45" s="22" t="str">
        <x:v>Class B</x:v>
      </x:c>
      <x:c r="U45" s="22"/>
      <x:c r="V45" s="22" t="str">
        <x:v>Plug-in</x:v>
      </x:c>
      <x:c r="W45" s="24" t="n">
        <x:v>300</x:v>
      </x:c>
      <x:c r="X45" s="24"/>
      <x:c r="Y45" s="22"/>
      <x:c r="Z45" s="22" t="str">
        <x:v>Encoder / Brake / Gearhead / Connector</x:v>
      </x:c>
      <x:c r="AA45" s="22" t="str">
        <x:v>기본 Archive 가능 / 동적선정 추가자료 필요</x:v>
      </x:c>
      <x:c r="AB45" s="22" t="str"/>
    </x:row>
    <x:row r="46" ht="30" customHeight="1">
      <x:c r="A46" s="22" t="n">
        <x:v>44</x:v>
      </x:c>
      <x:c r="B46" s="22" t="str">
        <x:v>P35SJM0303-15H(P35SHD0303-15H).pdf</x:v>
      </x:c>
      <x:c r="C46" s="22" t="str">
        <x:v>P35SJM0303-15H</x:v>
      </x:c>
      <x:c r="D46" s="22" t="str">
        <x:v>P35SJM0303-15H</x:v>
      </x:c>
      <x:c r="E46" s="22" t="str">
        <x:v>Y</x:v>
      </x:c>
      <x:c r="F46" s="22" t="str">
        <x:v>Mocoze</x:v>
      </x:c>
      <x:c r="G46" s="22" t="str">
        <x:v>2 Phase Stepping Motor</x:v>
      </x:c>
      <x:c r="H46" s="24" t="n">
        <x:v>1.8</x:v>
      </x:c>
      <x:c r="I46" s="24" t="n">
        <x:v>35</x:v>
      </x:c>
      <x:c r="J46" s="24" t="n">
        <x:v>20</x:v>
      </x:c>
      <x:c r="K46" s="22" t="n">
        <x:v>2</x:v>
      </x:c>
      <x:c r="L46" s="26"/>
      <x:c r="M46" s="26" t="n">
        <x:v>0.4</x:v>
      </x:c>
      <x:c r="N46" s="28" t="n">
        <x:v>60</x:v>
      </x:c>
      <x:c r="O46" s="28" t="n">
        <x:f>N46/1000</x:f>
        <x:v>0.06</x:v>
      </x:c>
      <x:c r="P46" s="26" t="n">
        <x:v>22</x:v>
      </x:c>
      <x:c r="Q46" s="26" t="n">
        <x:v>15</x:v>
      </x:c>
      <x:c r="R46" s="26" t="n">
        <x:v>10</x:v>
      </x:c>
      <x:c r="S46" s="28" t="n">
        <x:v>0.09</x:v>
      </x:c>
      <x:c r="T46" s="22"/>
      <x:c r="U46" s="22" t="n">
        <x:v>4</x:v>
      </x:c>
      <x:c r="V46" s="22" t="str">
        <x:v>Connector</x:v>
      </x:c>
      <x:c r="W46" s="24"/>
      <x:c r="X46" s="24"/>
      <x:c r="Y46" s="22"/>
      <x:c r="Z46" s="22" t="str">
        <x:v>Encoder / Brake / Gearhead / Connector</x:v>
      </x:c>
      <x:c r="AA46" s="22" t="str">
        <x:v>기본 Archive 가능 / 동적선정 추가자료 필요</x:v>
      </x:c>
      <x:c r="AB46" s="22" t="str"/>
    </x:row>
    <x:row r="47" ht="30" customHeight="1">
      <x:c r="A47" s="22" t="n">
        <x:v>45</x:v>
      </x:c>
      <x:c r="B47" s="22" t="str">
        <x:v>P35SJM0807-24B(P35SHD0807-24B).pdf</x:v>
      </x:c>
      <x:c r="C47" s="22" t="str">
        <x:v>P35SJM0807-24B</x:v>
      </x:c>
      <x:c r="D47" s="22" t="str">
        <x:v>P35SJM0807-24B</x:v>
      </x:c>
      <x:c r="E47" s="22" t="str">
        <x:v>Y</x:v>
      </x:c>
      <x:c r="F47" s="22" t="str">
        <x:v>Mocoze</x:v>
      </x:c>
      <x:c r="G47" s="22" t="str">
        <x:v>2 Phase Stepping Motor</x:v>
      </x:c>
      <x:c r="H47" s="24" t="n">
        <x:v>1.8</x:v>
      </x:c>
      <x:c r="I47" s="24" t="n">
        <x:v>35</x:v>
      </x:c>
      <x:c r="J47" s="24" t="n">
        <x:v>40</x:v>
      </x:c>
      <x:c r="K47" s="22" t="n">
        <x:v>2</x:v>
      </x:c>
      <x:c r="L47" s="26"/>
      <x:c r="M47" s="26" t="n">
        <x:v>0.5</x:v>
      </x:c>
      <x:c r="N47" s="28" t="n">
        <x:v>180</x:v>
      </x:c>
      <x:c r="O47" s="28" t="n">
        <x:f>N47/1000</x:f>
        <x:v>0.18</x:v>
      </x:c>
      <x:c r="P47" s="26" t="n">
        <x:v>4.5</x:v>
      </x:c>
      <x:c r="Q47" s="26" t="n">
        <x:v>5.8</x:v>
      </x:c>
      <x:c r="R47" s="26" t="n">
        <x:v>35</x:v>
      </x:c>
      <x:c r="S47" s="28" t="n">
        <x:v>0.3</x:v>
      </x:c>
      <x:c r="T47" s="22" t="str">
        <x:v>Class B</x:v>
      </x:c>
      <x:c r="U47" s="22"/>
      <x:c r="V47" s="22" t="str">
        <x:v>Plug-in</x:v>
      </x:c>
      <x:c r="W47" s="24" t="n">
        <x:v>300</x:v>
      </x:c>
      <x:c r="X47" s="24"/>
      <x:c r="Y47" s="22"/>
      <x:c r="Z47" s="22" t="str">
        <x:v>Encoder / Brake / Gearhead / Connector</x:v>
      </x:c>
      <x:c r="AA47" s="22" t="str">
        <x:v>기본 Archive 가능 / 동적선정 추가자료 필요</x:v>
      </x:c>
      <x:c r="AB47" s="22" t="str"/>
    </x:row>
    <x:row r="48" ht="30" customHeight="1">
      <x:c r="A48" s="22" t="n">
        <x:v>46</x:v>
      </x:c>
      <x:c r="B48" s="22" t="str">
        <x:v>P35SJM0808-20B(P35SHD0808-20B).pdf</x:v>
      </x:c>
      <x:c r="C48" s="22" t="str">
        <x:v>P35SJM0808-20B</x:v>
      </x:c>
      <x:c r="D48" s="22" t="str">
        <x:v>P35SJM0808-20B</x:v>
      </x:c>
      <x:c r="E48" s="22" t="str">
        <x:v>Y</x:v>
      </x:c>
      <x:c r="F48" s="22" t="str">
        <x:v>Mocoze</x:v>
      </x:c>
      <x:c r="G48" s="22" t="str">
        <x:v>2 Phase Stepping Motor</x:v>
      </x:c>
      <x:c r="H48" s="24" t="n">
        <x:v>1.8</x:v>
      </x:c>
      <x:c r="I48" s="24" t="n">
        <x:v>35</x:v>
      </x:c>
      <x:c r="J48" s="24" t="n">
        <x:v>40</x:v>
      </x:c>
      <x:c r="K48" s="22" t="n">
        <x:v>2</x:v>
      </x:c>
      <x:c r="L48" s="26"/>
      <x:c r="M48" s="26" t="n">
        <x:v>0.4</x:v>
      </x:c>
      <x:c r="N48" s="28" t="n">
        <x:v>350</x:v>
      </x:c>
      <x:c r="O48" s="28" t="n">
        <x:f>N48/1000</x:f>
        <x:v>0.35</x:v>
      </x:c>
      <x:c r="P48" s="26" t="n">
        <x:v>33</x:v>
      </x:c>
      <x:c r="Q48" s="26" t="n">
        <x:v>42</x:v>
      </x:c>
      <x:c r="R48" s="26" t="n">
        <x:v>12</x:v>
      </x:c>
      <x:c r="S48" s="28" t="n">
        <x:v>0.15</x:v>
      </x:c>
      <x:c r="T48" s="22" t="str">
        <x:v>Class B</x:v>
      </x:c>
      <x:c r="U48" s="22"/>
      <x:c r="V48" s="22" t="str">
        <x:v>Plug-in</x:v>
      </x:c>
      <x:c r="W48" s="24" t="n">
        <x:v>300</x:v>
      </x:c>
      <x:c r="X48" s="24"/>
      <x:c r="Y48" s="22"/>
      <x:c r="Z48" s="22" t="str">
        <x:v>Encoder / Brake / Gearhead / Connector</x:v>
      </x:c>
      <x:c r="AA48" s="22" t="str">
        <x:v>기본 Archive 가능 / 동적선정 추가자료 필요</x:v>
      </x:c>
      <x:c r="AB48" s="22" t="str"/>
    </x:row>
    <x:row r="49" ht="30" customHeight="1">
      <x:c r="A49" s="22" t="n">
        <x:v>47</x:v>
      </x:c>
      <x:c r="B49" s="22" t="str">
        <x:v>60SJM6705-21B(60SHD6705-21B).pdf</x:v>
      </x:c>
      <x:c r="C49" s="22" t="str">
        <x:v>60SJM6705-21B</x:v>
      </x:c>
      <x:c r="D49" s="22" t="str">
        <x:v>60SJM6705-21B</x:v>
      </x:c>
      <x:c r="E49" s="22" t="str">
        <x:v>Y</x:v>
      </x:c>
      <x:c r="F49" s="22" t="str">
        <x:v>Mocoze</x:v>
      </x:c>
      <x:c r="G49" s="22" t="str">
        <x:v>Stepping Motor</x:v>
      </x:c>
      <x:c r="H49" s="24" t="n">
        <x:v>1.8</x:v>
      </x:c>
      <x:c r="I49" s="24" t="n">
        <x:v>60</x:v>
      </x:c>
      <x:c r="J49" s="24" t="n">
        <x:v>100</x:v>
      </x:c>
      <x:c r="K49" s="22" t="n">
        <x:v>4</x:v>
      </x:c>
      <x:c r="L49" s="26"/>
      <x:c r="M49" s="26" t="n">
        <x:v>3.5</x:v>
      </x:c>
      <x:c r="N49" s="28" t="n">
        <x:v>3000</x:v>
      </x:c>
      <x:c r="O49" s="28" t="n">
        <x:f>N49/1000</x:f>
        <x:v>3</x:v>
      </x:c>
      <x:c r="P49" s="26" t="n">
        <x:v>1.8</x:v>
      </x:c>
      <x:c r="Q49" s="26" t="n">
        <x:v>3.5</x:v>
      </x:c>
      <x:c r="R49" s="26" t="n">
        <x:v>1000</x:v>
      </x:c>
      <x:c r="S49" s="28" t="n">
        <x:v>1.5</x:v>
      </x:c>
      <x:c r="T49" s="22" t="str">
        <x:v>Class B</x:v>
      </x:c>
      <x:c r="U49" s="22"/>
      <x:c r="V49" s="22" t="str">
        <x:v>Lead Wire</x:v>
      </x:c>
      <x:c r="W49" s="24" t="n">
        <x:v>300</x:v>
      </x:c>
      <x:c r="X49" s="24"/>
      <x:c r="Y49" s="22"/>
      <x:c r="Z49" s="22" t="str">
        <x:v>Encoder / Brake / Gearhead / Connector</x:v>
      </x:c>
      <x:c r="AA49" s="22" t="str">
        <x:v>기본 Archive 가능 / 동적선정 추가자료 필요</x:v>
      </x:c>
      <x:c r="AB49" s="22" t="str">
        <x:v>P1은 '2 Phase Stepping Motor'로 표기, P2 사양표 Number of Phase는 4 Phase - 확인 필요; Holding Torque 3.0 N·m를 3,000 mN·m로 환산</x:v>
      </x:c>
    </x:row>
    <x:row r="50" ht="30" customHeight="1">
      <x:c r="A50" s="22" t="n">
        <x:v>48</x:v>
      </x:c>
      <x:c r="B50" s="22" t="str">
        <x:v>86SJM4201-37B(86SHD4201-37B).pdf</x:v>
      </x:c>
      <x:c r="C50" s="22" t="str">
        <x:v>86SJM4201-37B</x:v>
      </x:c>
      <x:c r="D50" s="22" t="str">
        <x:v>86SJM4201-37B</x:v>
      </x:c>
      <x:c r="E50" s="22" t="str">
        <x:v>Y</x:v>
      </x:c>
      <x:c r="F50" s="22" t="str">
        <x:v>Mocoze</x:v>
      </x:c>
      <x:c r="G50" s="22" t="str">
        <x:v>2 Phase Stepping Motor</x:v>
      </x:c>
      <x:c r="H50" s="24" t="n">
        <x:v>1.8</x:v>
      </x:c>
      <x:c r="I50" s="24" t="n">
        <x:v>86</x:v>
      </x:c>
      <x:c r="J50" s="24" t="n">
        <x:v>98</x:v>
      </x:c>
      <x:c r="K50" s="22" t="n">
        <x:v>2</x:v>
      </x:c>
      <x:c r="L50" s="26"/>
      <x:c r="M50" s="26" t="n">
        <x:v>3</x:v>
      </x:c>
      <x:c r="N50" s="28" t="n">
        <x:v>7000</x:v>
      </x:c>
      <x:c r="O50" s="28" t="n">
        <x:f>N50/1000</x:f>
        <x:v>7</x:v>
      </x:c>
      <x:c r="P50" s="26" t="n">
        <x:v>1.5</x:v>
      </x:c>
      <x:c r="Q50" s="26" t="n">
        <x:v>15</x:v>
      </x:c>
      <x:c r="R50" s="26" t="n">
        <x:v>1700</x:v>
      </x:c>
      <x:c r="S50" s="28" t="n">
        <x:v>2.9</x:v>
      </x:c>
      <x:c r="T50" s="22" t="str">
        <x:v>Class B</x:v>
      </x:c>
      <x:c r="U50" s="22"/>
      <x:c r="V50" s="22" t="str">
        <x:v>Lead Wire</x:v>
      </x:c>
      <x:c r="W50" s="24" t="n">
        <x:v>500</x:v>
      </x:c>
      <x:c r="X50" s="24"/>
      <x:c r="Y50" s="22"/>
      <x:c r="Z50" s="22" t="str">
        <x:v>Encoder / Brake / Gearhead / Connector</x:v>
      </x:c>
      <x:c r="AA50" s="22" t="str">
        <x:v>기본 Archive 가능 / 동적선정 추가자료 필요</x:v>
      </x:c>
      <x:c r="AB50" s="22" t="str">
        <x:v>Holding Torque 원문 7.0 N·m를 공통단위 7,000 mN·m로 환산</x:v>
      </x:c>
    </x:row>
    <x:row r="51" ht="30" customHeight="1">
      <x:c r="A51" s="22" t="n">
        <x:v>49</x:v>
      </x:c>
      <x:c r="B51" s="22" t="str">
        <x:v>57SJM4974-21BH(57SHD4974-21BH)(1).pdf</x:v>
      </x:c>
      <x:c r="C51" s="22" t="str">
        <x:v>57SJM4974-21BH</x:v>
      </x:c>
      <x:c r="D51" s="22" t="str">
        <x:v>57SJM4974-21BH</x:v>
      </x:c>
      <x:c r="E51" s="22" t="str">
        <x:v>Y</x:v>
      </x:c>
      <x:c r="F51" s="22" t="str">
        <x:v>Mocoze</x:v>
      </x:c>
      <x:c r="G51" s="22" t="str">
        <x:v>2 Phase Stepping Motor</x:v>
      </x:c>
      <x:c r="H51" s="24" t="n">
        <x:v>1.8</x:v>
      </x:c>
      <x:c r="I51" s="24" t="n">
        <x:v>57</x:v>
      </x:c>
      <x:c r="J51" s="24" t="n">
        <x:v>76</x:v>
      </x:c>
      <x:c r="K51" s="22" t="n">
        <x:v>2</x:v>
      </x:c>
      <x:c r="L51" s="26"/>
      <x:c r="M51" s="26" t="n">
        <x:v>4</x:v>
      </x:c>
      <x:c r="N51" s="28" t="n">
        <x:v>3</x:v>
      </x:c>
      <x:c r="O51" s="28" t="n">
        <x:f>N51/1000</x:f>
        <x:v>0.003</x:v>
      </x:c>
      <x:c r="P51" s="26" t="n">
        <x:v>1.6</x:v>
      </x:c>
      <x:c r="Q51" s="26" t="n">
        <x:v>6.8</x:v>
      </x:c>
      <x:c r="R51" s="26" t="n">
        <x:v>800</x:v>
      </x:c>
      <x:c r="S51" s="28" t="n">
        <x:v>1.7</x:v>
      </x:c>
      <x:c r="T51" s="22"/>
      <x:c r="U51" s="22" t="n">
        <x:v>4</x:v>
      </x:c>
      <x:c r="V51" s="22" t="str">
        <x:v>Bipolar</x:v>
      </x:c>
      <x:c r="W51" s="24"/>
      <x:c r="X51" s="24"/>
      <x:c r="Y51" s="22"/>
      <x:c r="Z51" s="22" t="str">
        <x:v>Encoder / Brake / Gearhead / Connector</x:v>
      </x:c>
      <x:c r="AA51" s="22" t="str">
        <x:v>기본 Archive 가능 / 동적선정 추가자료 필요</x:v>
      </x:c>
      <x:c r="AB51" s="22" t="str">
        <x:v>P1 SIZE 57×57×112 mm vs P2 Motor Length 76 mm. Holding torque 원문이 3.0 mN·m로 표기되어 단위 재확인 권장</x:v>
      </x:c>
    </x:row>
    <x:row r="52" ht="30" customHeight="1">
      <x:c r="A52" s="22" t="n">
        <x:v>50</x:v>
      </x:c>
      <x:c r="B52" s="22" t="str">
        <x:v>60SJM4703-21B(60SHD4703-21B)(1).pdf</x:v>
      </x:c>
      <x:c r="C52" s="22" t="str">
        <x:v>60SJM4703-21B</x:v>
      </x:c>
      <x:c r="D52" s="22" t="str">
        <x:v>60SJM4703-21B</x:v>
      </x:c>
      <x:c r="E52" s="22" t="str">
        <x:v>Y</x:v>
      </x:c>
      <x:c r="F52" s="22" t="str">
        <x:v>Mocoze</x:v>
      </x:c>
      <x:c r="G52" s="22" t="str">
        <x:v>2 Phase Stepping Motor</x:v>
      </x:c>
      <x:c r="H52" s="24" t="n">
        <x:v>1.8</x:v>
      </x:c>
      <x:c r="I52" s="24" t="n">
        <x:v>60</x:v>
      </x:c>
      <x:c r="J52" s="24" t="n">
        <x:v>100</x:v>
      </x:c>
      <x:c r="K52" s="22" t="n">
        <x:v>2</x:v>
      </x:c>
      <x:c r="L52" s="26"/>
      <x:c r="M52" s="26" t="n">
        <x:v>4</x:v>
      </x:c>
      <x:c r="N52" s="28" t="n">
        <x:v>3500</x:v>
      </x:c>
      <x:c r="O52" s="28" t="n">
        <x:f>N52/1000</x:f>
        <x:v>3.5</x:v>
      </x:c>
      <x:c r="P52" s="26" t="n">
        <x:v>0.73</x:v>
      </x:c>
      <x:c r="Q52" s="26" t="n">
        <x:v>2.8</x:v>
      </x:c>
      <x:c r="R52" s="26" t="n">
        <x:v>1000</x:v>
      </x:c>
      <x:c r="S52" s="28" t="n">
        <x:v>1.5</x:v>
      </x:c>
      <x:c r="T52" s="22" t="str">
        <x:v>Class B</x:v>
      </x:c>
      <x:c r="U52" s="22"/>
      <x:c r="V52" s="22" t="str">
        <x:v>Lead Wire</x:v>
      </x:c>
      <x:c r="W52" s="24" t="n">
        <x:v>300</x:v>
      </x:c>
      <x:c r="X52" s="24"/>
      <x:c r="Y52" s="22"/>
      <x:c r="Z52" s="22" t="str">
        <x:v>Encoder / Brake / Gearhead / Connector</x:v>
      </x:c>
      <x:c r="AA52" s="22" t="str">
        <x:v>기본 Archive 가능 / 동적선정 추가자료 필요</x:v>
      </x:c>
      <x:c r="AB52" s="22" t="str">
        <x:v>Holding Torque 3.5 N·m를 공통단위 3,500 mN·m로 환산</x:v>
      </x:c>
    </x:row>
    <x:row r="53" ht="30" customHeight="1">
      <x:c r="A53" s="22" t="n">
        <x:v>51</x:v>
      </x:c>
      <x:c r="B53" s="22" t="str">
        <x:v>60SJM4704-21B(60SHD4704-21B).pdf</x:v>
      </x:c>
      <x:c r="C53" s="22" t="str">
        <x:v>60SJM4704-21B</x:v>
      </x:c>
      <x:c r="D53" s="22" t="str">
        <x:v>60SJM4704-21B</x:v>
      </x:c>
      <x:c r="E53" s="22" t="str">
        <x:v>Y</x:v>
      </x:c>
      <x:c r="F53" s="22" t="str">
        <x:v>Mocoze</x:v>
      </x:c>
      <x:c r="G53" s="22" t="str">
        <x:v>2 Phase Stepping Motor</x:v>
      </x:c>
      <x:c r="H53" s="24" t="n">
        <x:v>1.8</x:v>
      </x:c>
      <x:c r="I53" s="24" t="n">
        <x:v>60</x:v>
      </x:c>
      <x:c r="J53" s="24" t="n">
        <x:v>100</x:v>
      </x:c>
      <x:c r="K53" s="22" t="n">
        <x:v>2</x:v>
      </x:c>
      <x:c r="L53" s="26"/>
      <x:c r="M53" s="26" t="n">
        <x:v>4</x:v>
      </x:c>
      <x:c r="N53" s="28" t="n">
        <x:v>4000</x:v>
      </x:c>
      <x:c r="O53" s="28" t="n">
        <x:f>N53/1000</x:f>
        <x:v>4</x:v>
      </x:c>
      <x:c r="P53" s="26" t="n">
        <x:v>0.93</x:v>
      </x:c>
      <x:c r="Q53" s="26" t="n">
        <x:v>3.5</x:v>
      </x:c>
      <x:c r="R53" s="26" t="n">
        <x:v>1000</x:v>
      </x:c>
      <x:c r="S53" s="28" t="n">
        <x:v>1</x:v>
      </x:c>
      <x:c r="T53" s="22" t="str">
        <x:v>Class B</x:v>
      </x:c>
      <x:c r="U53" s="22"/>
      <x:c r="V53" s="22" t="str">
        <x:v>Lead Wire</x:v>
      </x:c>
      <x:c r="W53" s="24" t="n">
        <x:v>300</x:v>
      </x:c>
      <x:c r="X53" s="24"/>
      <x:c r="Y53" s="22"/>
      <x:c r="Z53" s="22" t="str">
        <x:v>Encoder / Brake / Gearhead / Connector</x:v>
      </x:c>
      <x:c r="AA53" s="22" t="str">
        <x:v>기본 Archive 가능 / 동적선정 추가자료 필요</x:v>
      </x:c>
      <x:c r="AB53" s="22" t="str">
        <x:v>Resistance 원문 '0.93 hm' 표기 - ohm으로 해석, 원본 재확인 권장</x:v>
      </x:c>
    </x:row>
    <x:row r="54" ht="30" customHeight="1">
      <x:c r="A54" s="22" t="n">
        <x:v>52</x:v>
      </x:c>
      <x:c r="B54" s="22" t="str">
        <x:v>57SJM0002-25M(57SHD0002-25M).pdf</x:v>
      </x:c>
      <x:c r="C54" s="22" t="str">
        <x:v>57SJM0002-25M</x:v>
      </x:c>
      <x:c r="D54" s="22" t="str">
        <x:v>57SJM0002-25M</x:v>
      </x:c>
      <x:c r="E54" s="22" t="str">
        <x:v>Y</x:v>
      </x:c>
      <x:c r="F54" s="22" t="str">
        <x:v>Mocoze</x:v>
      </x:c>
      <x:c r="G54" s="22" t="str">
        <x:v>2 Phase Stepping Motor</x:v>
      </x:c>
      <x:c r="H54" s="24" t="n">
        <x:v>1.8</x:v>
      </x:c>
      <x:c r="I54" s="24" t="n">
        <x:v>56</x:v>
      </x:c>
      <x:c r="J54" s="24" t="n">
        <x:v>41</x:v>
      </x:c>
      <x:c r="K54" s="22" t="n">
        <x:v>2</x:v>
      </x:c>
      <x:c r="L54" s="26"/>
      <x:c r="M54" s="26" t="n">
        <x:v>0.4</x:v>
      </x:c>
      <x:c r="N54" s="28" t="n">
        <x:v>350</x:v>
      </x:c>
      <x:c r="O54" s="28" t="n">
        <x:f>N54/1000</x:f>
        <x:v>0.35</x:v>
      </x:c>
      <x:c r="P54" s="26" t="n">
        <x:v>3.6</x:v>
      </x:c>
      <x:c r="Q54" s="26" t="n">
        <x:v>13</x:v>
      </x:c>
      <x:c r="R54" s="26" t="n">
        <x:v>260</x:v>
      </x:c>
      <x:c r="S54" s="28" t="n">
        <x:v>0.6</x:v>
      </x:c>
      <x:c r="T54" s="22" t="str">
        <x:v>Class B</x:v>
      </x:c>
      <x:c r="U54" s="22"/>
      <x:c r="V54" s="22" t="str">
        <x:v>Plug-in</x:v>
      </x:c>
      <x:c r="W54" s="24" t="n">
        <x:v>300</x:v>
      </x:c>
      <x:c r="X54" s="24"/>
      <x:c r="Y54" s="22"/>
      <x:c r="Z54" s="22" t="str">
        <x:v>Encoder / Brake / Gearhead / Connector</x:v>
      </x:c>
      <x:c r="AA54" s="22" t="str">
        <x:v>기본 Archive 가능 / 동적선정 추가자료 필요</x:v>
      </x:c>
      <x:c r="AB54" s="22" t="str">
        <x:v>Holding Torque 0.35 N·m를 공통단위 350 mN·m로 환산</x:v>
      </x:c>
    </x:row>
    <x:row r="55" ht="30" customHeight="1">
      <x:c r="A55" s="22" t="n">
        <x:v>53</x:v>
      </x:c>
      <x:c r="B55" s="22" t="str">
        <x:v>57SJM0013-25C(57SHD0013-25C).pdf</x:v>
      </x:c>
      <x:c r="C55" s="22" t="str">
        <x:v>57SJM0013-25C</x:v>
      </x:c>
      <x:c r="D55" s="22" t="str">
        <x:v>57SJM0013-25C</x:v>
      </x:c>
      <x:c r="E55" s="22" t="str">
        <x:v>Y</x:v>
      </x:c>
      <x:c r="F55" s="22" t="str">
        <x:v>Mocoze</x:v>
      </x:c>
      <x:c r="G55" s="22" t="str">
        <x:v>2 Phase Stepping Motor</x:v>
      </x:c>
      <x:c r="H55" s="24" t="n">
        <x:v>1.8</x:v>
      </x:c>
      <x:c r="I55" s="24" t="n">
        <x:v>57</x:v>
      </x:c>
      <x:c r="J55" s="24" t="n">
        <x:v>41</x:v>
      </x:c>
      <x:c r="K55" s="22" t="n">
        <x:v>2</x:v>
      </x:c>
      <x:c r="L55" s="26"/>
      <x:c r="M55" s="26" t="n">
        <x:v>1</x:v>
      </x:c>
      <x:c r="N55" s="28" t="n">
        <x:v>600</x:v>
      </x:c>
      <x:c r="O55" s="28" t="n">
        <x:f>N55/1000</x:f>
        <x:v>0.6</x:v>
      </x:c>
      <x:c r="P55" s="26" t="n">
        <x:v>6.5</x:v>
      </x:c>
      <x:c r="Q55" s="26" t="n">
        <x:v>12.5</x:v>
      </x:c>
      <x:c r="R55" s="26" t="n">
        <x:v>135</x:v>
      </x:c>
      <x:c r="S55" s="28" t="n">
        <x:v>0.42</x:v>
      </x:c>
      <x:c r="T55" s="22"/>
      <x:c r="U55" s="22" t="n">
        <x:v>4</x:v>
      </x:c>
      <x:c r="V55" s="22" t="str">
        <x:v>Bipolar</x:v>
      </x:c>
      <x:c r="W55" s="24"/>
      <x:c r="X55" s="24"/>
      <x:c r="Y55" s="22"/>
      <x:c r="Z55" s="22" t="str">
        <x:v>Encoder / Brake / Gearhead / Connector</x:v>
      </x:c>
      <x:c r="AA55" s="22" t="str">
        <x:v>기본 Archive 가능 / 동적선정 추가자료 필요</x:v>
      </x:c>
      <x:c r="AB55" s="22" t="str">
        <x:v>P1 Highlight 0.6 mN·m vs P2 Motor Specifications 0.6 N·m - P2 기준 600 mN·m로 입력</x:v>
      </x:c>
    </x:row>
    <x:row r="56" ht="30" customHeight="1">
      <x:c r="A56" s="22" t="n">
        <x:v>54</x:v>
      </x:c>
      <x:c r="B56" s="22" t="str">
        <x:v>57SJM0016-21(57SHD0016-21).pdf</x:v>
      </x:c>
      <x:c r="C56" s="22" t="str">
        <x:v>57SJM0016-21</x:v>
      </x:c>
      <x:c r="D56" s="22" t="str">
        <x:v>57SJM0016-21</x:v>
      </x:c>
      <x:c r="E56" s="22" t="str">
        <x:v>Y</x:v>
      </x:c>
      <x:c r="F56" s="22" t="str">
        <x:v>Mocoze</x:v>
      </x:c>
      <x:c r="G56" s="22" t="str">
        <x:v>2 Phase Stepping Motor</x:v>
      </x:c>
      <x:c r="H56" s="24" t="n">
        <x:v>1.8</x:v>
      </x:c>
      <x:c r="I56" s="24" t="n">
        <x:v>57</x:v>
      </x:c>
      <x:c r="J56" s="24" t="n">
        <x:v>41</x:v>
      </x:c>
      <x:c r="K56" s="22" t="n">
        <x:v>2</x:v>
      </x:c>
      <x:c r="L56" s="26"/>
      <x:c r="M56" s="26" t="n">
        <x:v>0.5</x:v>
      </x:c>
      <x:c r="N56" s="28" t="n">
        <x:v>320</x:v>
      </x:c>
      <x:c r="O56" s="28" t="n">
        <x:f>N56/1000</x:f>
        <x:v>0.32</x:v>
      </x:c>
      <x:c r="P56" s="26" t="n">
        <x:v>20</x:v>
      </x:c>
      <x:c r="Q56" s="26" t="n">
        <x:v>19</x:v>
      </x:c>
      <x:c r="R56" s="26" t="n">
        <x:v>135</x:v>
      </x:c>
      <x:c r="S56" s="28" t="n">
        <x:v>0.42</x:v>
      </x:c>
      <x:c r="T56" s="22"/>
      <x:c r="U56" s="22" t="n">
        <x:v>4</x:v>
      </x:c>
      <x:c r="V56" s="22" t="str">
        <x:v>Bipolar</x:v>
      </x:c>
      <x:c r="W56" s="24"/>
      <x:c r="X56" s="24"/>
      <x:c r="Y56" s="22"/>
      <x:c r="Z56" s="22" t="str">
        <x:v>Encoder / Brake / Gearhead / Connector</x:v>
      </x:c>
      <x:c r="AA56" s="22" t="str">
        <x:v>기본 Archive 가능 / 동적선정 추가자료 필요</x:v>
      </x:c>
      <x:c r="AB56" s="22" t="str">
        <x:v>P1 Highlight 0.32 mN·m vs P2 Motor Specifications 0.32 N·m - P2 기준 320 mN·m로 입력</x:v>
      </x:c>
    </x:row>
    <x:row r="57" ht="30" customHeight="1">
      <x:c r="A57" s="22" t="n">
        <x:v>55</x:v>
      </x:c>
      <x:c r="B57" s="22" t="str">
        <x:v>57SJM0021-21M(57SHD0021-21M).pdf</x:v>
      </x:c>
      <x:c r="C57" s="22" t="str">
        <x:v>57SJM0021-21M</x:v>
      </x:c>
      <x:c r="D57" s="22" t="str">
        <x:v>57SJM0021-21M</x:v>
      </x:c>
      <x:c r="E57" s="22" t="str">
        <x:v>Y</x:v>
      </x:c>
      <x:c r="F57" s="22" t="str">
        <x:v>Mocoze</x:v>
      </x:c>
      <x:c r="G57" s="22" t="str">
        <x:v>2 Phase Stepping Motor</x:v>
      </x:c>
      <x:c r="H57" s="24" t="n">
        <x:v>1.8</x:v>
      </x:c>
      <x:c r="I57" s="24" t="n">
        <x:v>57</x:v>
      </x:c>
      <x:c r="J57" s="24" t="n">
        <x:v>41</x:v>
      </x:c>
      <x:c r="K57" s="22" t="n">
        <x:v>2</x:v>
      </x:c>
      <x:c r="L57" s="26"/>
      <x:c r="M57" s="26" t="n">
        <x:v>0.7</x:v>
      </x:c>
      <x:c r="N57" s="28" t="n">
        <x:v>600</x:v>
      </x:c>
      <x:c r="O57" s="28" t="n">
        <x:f>N57/1000</x:f>
        <x:v>0.6</x:v>
      </x:c>
      <x:c r="P57" s="26" t="n">
        <x:v>12.4</x:v>
      </x:c>
      <x:c r="Q57" s="26" t="n">
        <x:v>31</x:v>
      </x:c>
      <x:c r="R57" s="26" t="n">
        <x:v>135</x:v>
      </x:c>
      <x:c r="S57" s="28" t="n">
        <x:v>0.42</x:v>
      </x:c>
      <x:c r="T57" s="22"/>
      <x:c r="U57" s="22" t="n">
        <x:v>4</x:v>
      </x:c>
      <x:c r="V57" s="22" t="str">
        <x:v>Bipolar</x:v>
      </x:c>
      <x:c r="W57" s="24"/>
      <x:c r="X57" s="24"/>
      <x:c r="Y57" s="22"/>
      <x:c r="Z57" s="22" t="str">
        <x:v>Encoder / Brake / Gearhead / Connector</x:v>
      </x:c>
      <x:c r="AA57" s="22" t="str">
        <x:v>기본 Archive 가능 / 동적선정 추가자료 필요</x:v>
      </x:c>
      <x:c r="AB57" s="22" t="str">
        <x:v>P1 Highlight 0.60 mN·m vs P2 Motor Specifications 0.6 N·m - P2 기준 600 mN·m로 입력</x:v>
      </x:c>
    </x:row>
    <x:row r="58" ht="30" customHeight="1">
      <x:c r="A58" s="22" t="n">
        <x:v>56</x:v>
      </x:c>
      <x:c r="B58" s="22" t="str">
        <x:v>57SJM0025-25M(57SHD0025-25M).pdf</x:v>
      </x:c>
      <x:c r="C58" s="22" t="str">
        <x:v>57SJM0025-25M</x:v>
      </x:c>
      <x:c r="D58" s="22" t="str">
        <x:v>57SJM0025-25M</x:v>
      </x:c>
      <x:c r="E58" s="22" t="str">
        <x:v>Y</x:v>
      </x:c>
      <x:c r="F58" s="22" t="str">
        <x:v>Mocoze</x:v>
      </x:c>
      <x:c r="G58" s="22" t="str">
        <x:v>2 Phase Stepping Motor</x:v>
      </x:c>
      <x:c r="H58" s="24" t="n">
        <x:v>1.8</x:v>
      </x:c>
      <x:c r="I58" s="24" t="n">
        <x:v>57</x:v>
      </x:c>
      <x:c r="J58" s="24" t="n">
        <x:v>41</x:v>
      </x:c>
      <x:c r="K58" s="22" t="n">
        <x:v>2</x:v>
      </x:c>
      <x:c r="L58" s="26"/>
      <x:c r="M58" s="26" t="n">
        <x:v>1</x:v>
      </x:c>
      <x:c r="N58" s="28" t="n">
        <x:v>600</x:v>
      </x:c>
      <x:c r="O58" s="28" t="n">
        <x:f>N58/1000</x:f>
        <x:v>0.6</x:v>
      </x:c>
      <x:c r="P58" s="26" t="n">
        <x:v>5.8</x:v>
      </x:c>
      <x:c r="Q58" s="26" t="n">
        <x:v>14</x:v>
      </x:c>
      <x:c r="R58" s="26" t="n">
        <x:v>135</x:v>
      </x:c>
      <x:c r="S58" s="28" t="n">
        <x:v>0.42</x:v>
      </x:c>
      <x:c r="T58" s="22"/>
      <x:c r="U58" s="22" t="n">
        <x:v>4</x:v>
      </x:c>
      <x:c r="V58" s="22" t="str">
        <x:v>Bipolar</x:v>
      </x:c>
      <x:c r="W58" s="24"/>
      <x:c r="X58" s="24"/>
      <x:c r="Y58" s="22"/>
      <x:c r="Z58" s="22" t="str">
        <x:v>Encoder / Brake / Gearhead / Connector</x:v>
      </x:c>
      <x:c r="AA58" s="22" t="str">
        <x:v>기본 Archive 가능 / 동적선정 추가자료 필요</x:v>
      </x:c>
      <x:c r="AB58" s="22" t="str">
        <x:v>P1 Highlight 0.60 mN·m vs P2 Motor Specifications 0.6 N·m - P2 기준 600 mN·m로 입력</x:v>
      </x:c>
    </x:row>
    <x:row r="59" ht="30" customHeight="1">
      <x:c r="A59" s="22" t="n">
        <x:v>57</x:v>
      </x:c>
      <x:c r="B59" s="22" t="str">
        <x:v>57SJM4415-20BH(57SHD4415-20BH).pdf</x:v>
      </x:c>
      <x:c r="C59" s="22" t="str">
        <x:v>57SJM4415-20BH</x:v>
      </x:c>
      <x:c r="D59" s="22" t="str">
        <x:v>57SJM4415-20BH</x:v>
      </x:c>
      <x:c r="E59" s="22" t="str">
        <x:v>Y</x:v>
      </x:c>
      <x:c r="F59" s="22" t="str">
        <x:v>Mocoze</x:v>
      </x:c>
      <x:c r="G59" s="22" t="str">
        <x:v>2 Phase Stepping Motor</x:v>
      </x:c>
      <x:c r="H59" s="24" t="n">
        <x:v>1.8</x:v>
      </x:c>
      <x:c r="I59" s="24" t="n">
        <x:v>56</x:v>
      </x:c>
      <x:c r="J59" s="24" t="n">
        <x:v>54</x:v>
      </x:c>
      <x:c r="K59" s="22" t="n">
        <x:v>2</x:v>
      </x:c>
      <x:c r="L59" s="26"/>
      <x:c r="M59" s="26" t="n">
        <x:v>3</x:v>
      </x:c>
      <x:c r="N59" s="28" t="n">
        <x:v>1100</x:v>
      </x:c>
      <x:c r="O59" s="28" t="n">
        <x:f>N59/1000</x:f>
        <x:v>1.1</x:v>
      </x:c>
      <x:c r="P59" s="26" t="n">
        <x:v>2</x:v>
      </x:c>
      <x:c r="Q59" s="26" t="n">
        <x:v>40</x:v>
      </x:c>
      <x:c r="R59" s="26" t="n">
        <x:v>260</x:v>
      </x:c>
      <x:c r="S59" s="28" t="n">
        <x:v>0.6</x:v>
      </x:c>
      <x:c r="T59" s="22" t="str">
        <x:v>Class B</x:v>
      </x:c>
      <x:c r="U59" s="22"/>
      <x:c r="V59" s="22" t="str">
        <x:v>Lead Wire</x:v>
      </x:c>
      <x:c r="W59" s="24" t="n">
        <x:v>200</x:v>
      </x:c>
      <x:c r="X59" s="24"/>
      <x:c r="Y59" s="22"/>
      <x:c r="Z59" s="22" t="str">
        <x:v>Encoder / Brake / Gearhead / Connector</x:v>
      </x:c>
      <x:c r="AA59" s="22" t="str">
        <x:v>기본 Archive 가능 / 동적선정 추가자료 필요</x:v>
      </x:c>
      <x:c r="AB59" s="22" t="str">
        <x:v>Holding Torque 1.1 N·m를 공통단위 1,100 mN·m로 환산</x:v>
      </x:c>
    </x:row>
    <x:row r="60" ht="30" customHeight="1">
      <x:c r="A60" s="22" t="n">
        <x:v>58</x:v>
      </x:c>
      <x:c r="B60" s="22" t="str">
        <x:v>57SJM4425-21B1(57SHD4425-21B1)(1).pdf</x:v>
      </x:c>
      <x:c r="C60" s="22" t="str">
        <x:v>57SJM4425-21B1</x:v>
      </x:c>
      <x:c r="D60" s="22" t="str">
        <x:v>57SHD4425-21B1</x:v>
      </x:c>
      <x:c r="E60" s="22" t="str">
        <x:v>확인</x:v>
      </x:c>
      <x:c r="F60" s="22" t="str">
        <x:v>Mocoze</x:v>
      </x:c>
      <x:c r="G60" s="22" t="str">
        <x:v>2 Phase Stepping Motor</x:v>
      </x:c>
      <x:c r="H60" s="24" t="n">
        <x:v>1.8</x:v>
      </x:c>
      <x:c r="I60" s="24" t="n">
        <x:v>57</x:v>
      </x:c>
      <x:c r="J60" s="24" t="n">
        <x:v>54</x:v>
      </x:c>
      <x:c r="K60" s="22" t="n">
        <x:v>2</x:v>
      </x:c>
      <x:c r="L60" s="26"/>
      <x:c r="M60" s="26" t="n">
        <x:v>2.8</x:v>
      </x:c>
      <x:c r="N60" s="28" t="n">
        <x:v>1.2</x:v>
      </x:c>
      <x:c r="O60" s="28" t="n">
        <x:f>N60/1000</x:f>
        <x:v>0.0012</x:v>
      </x:c>
      <x:c r="P60" s="26" t="n">
        <x:v>0.9</x:v>
      </x:c>
      <x:c r="Q60" s="26" t="n">
        <x:v>2.5</x:v>
      </x:c>
      <x:c r="R60" s="26" t="n">
        <x:v>300</x:v>
      </x:c>
      <x:c r="S60" s="28" t="n">
        <x:v>0.7</x:v>
      </x:c>
      <x:c r="T60" s="22"/>
      <x:c r="U60" s="22" t="n">
        <x:v>4</x:v>
      </x:c>
      <x:c r="V60" s="22" t="str">
        <x:v>Bipolar</x:v>
      </x:c>
      <x:c r="W60" s="24"/>
      <x:c r="X60" s="24"/>
      <x:c r="Y60" s="22"/>
      <x:c r="Z60" s="22" t="str">
        <x:v>Encoder / Brake / Gearhead / Connector</x:v>
      </x:c>
      <x:c r="AA60" s="22" t="str">
        <x:v>기본 Archive 가능 / 동적선정 추가자료 필요</x:v>
      </x:c>
      <x:c r="AB60" s="22" t="str">
        <x:v>파일명 SJM vs PDF Model Name SHD. Holding torque 원문 1.2 mN·m - 단위 재확인 권장</x:v>
      </x:c>
    </x:row>
    <x:row r="61" ht="30" customHeight="1">
      <x:c r="A61" s="22" t="n">
        <x:v>59</x:v>
      </x:c>
      <x:c r="B61" s="22" t="str">
        <x:v>57SJM4425-21B1H(57SHD4425-21B1H).pdf</x:v>
      </x:c>
      <x:c r="C61" s="22" t="str">
        <x:v>57SJM4425-21B1H</x:v>
      </x:c>
      <x:c r="D61" s="22" t="str">
        <x:v>57SJM4425-21B1H</x:v>
      </x:c>
      <x:c r="E61" s="22" t="str">
        <x:v>Y</x:v>
      </x:c>
      <x:c r="F61" s="22" t="str">
        <x:v>Mocoze</x:v>
      </x:c>
      <x:c r="G61" s="22" t="str">
        <x:v>2 Phase Stepping Motor</x:v>
      </x:c>
      <x:c r="H61" s="24" t="n">
        <x:v>1.8</x:v>
      </x:c>
      <x:c r="I61" s="24" t="n">
        <x:v>56</x:v>
      </x:c>
      <x:c r="J61" s="24" t="n">
        <x:v>54</x:v>
      </x:c>
      <x:c r="K61" s="22" t="n">
        <x:v>2</x:v>
      </x:c>
      <x:c r="L61" s="26"/>
      <x:c r="M61" s="26" t="n">
        <x:v>3</x:v>
      </x:c>
      <x:c r="N61" s="28" t="n">
        <x:v>1100</x:v>
      </x:c>
      <x:c r="O61" s="28" t="n">
        <x:f>N61/1000</x:f>
        <x:v>1.1</x:v>
      </x:c>
      <x:c r="P61" s="26" t="n">
        <x:v>0.75</x:v>
      </x:c>
      <x:c r="Q61" s="26" t="n">
        <x:v>2</x:v>
      </x:c>
      <x:c r="R61" s="26" t="n">
        <x:v>260</x:v>
      </x:c>
      <x:c r="S61" s="28" t="n">
        <x:v>0.6</x:v>
      </x:c>
      <x:c r="T61" s="22" t="str">
        <x:v>Class B</x:v>
      </x:c>
      <x:c r="U61" s="22"/>
      <x:c r="V61" s="22" t="str">
        <x:v>Lead Wire</x:v>
      </x:c>
      <x:c r="W61" s="24" t="n">
        <x:v>200</x:v>
      </x:c>
      <x:c r="X61" s="24"/>
      <x:c r="Y61" s="22"/>
      <x:c r="Z61" s="22" t="str">
        <x:v>Encoder / Brake / Gearhead / Connector</x:v>
      </x:c>
      <x:c r="AA61" s="22" t="str">
        <x:v>기본 Archive 가능 / 동적선정 추가자료 필요</x:v>
      </x:c>
      <x:c r="AB61" s="22" t="str">
        <x:v>Holding Torque 1.1 N·m를 공통단위 1,100 mN·m로 환산</x:v>
      </x:c>
    </x:row>
    <x:row r="62" ht="30" customHeight="1">
      <x:c r="A62" s="22" t="n">
        <x:v>60</x:v>
      </x:c>
      <x:c r="B62" s="22" t="str">
        <x:v>57SJM4425-21C(57SHD4425-21C).pdf</x:v>
      </x:c>
      <x:c r="C62" s="22" t="str">
        <x:v>57SJM4425-21C</x:v>
      </x:c>
      <x:c r="D62" s="22" t="str">
        <x:v>57SHD4425-21C</x:v>
      </x:c>
      <x:c r="E62" s="22" t="str">
        <x:v>확인</x:v>
      </x:c>
      <x:c r="F62" s="22" t="str">
        <x:v>Mocoze</x:v>
      </x:c>
      <x:c r="G62" s="22" t="str">
        <x:v>2 Phase Stepping Motor</x:v>
      </x:c>
      <x:c r="H62" s="24" t="n">
        <x:v>1.8</x:v>
      </x:c>
      <x:c r="I62" s="24" t="n">
        <x:v>57</x:v>
      </x:c>
      <x:c r="J62" s="24" t="n">
        <x:v>54</x:v>
      </x:c>
      <x:c r="K62" s="22" t="n">
        <x:v>2</x:v>
      </x:c>
      <x:c r="L62" s="26"/>
      <x:c r="M62" s="26" t="n">
        <x:v>1.8</x:v>
      </x:c>
      <x:c r="N62" s="28" t="n">
        <x:v>1.2</x:v>
      </x:c>
      <x:c r="O62" s="28" t="n">
        <x:f>N62/1000</x:f>
        <x:v>0.0012</x:v>
      </x:c>
      <x:c r="P62" s="26" t="n">
        <x:v>0.9</x:v>
      </x:c>
      <x:c r="Q62" s="26" t="n">
        <x:v>2.5</x:v>
      </x:c>
      <x:c r="R62" s="26" t="n">
        <x:v>300</x:v>
      </x:c>
      <x:c r="S62" s="28" t="n">
        <x:v>0.7</x:v>
      </x:c>
      <x:c r="T62" s="22"/>
      <x:c r="U62" s="22" t="n">
        <x:v>4</x:v>
      </x:c>
      <x:c r="V62" s="22" t="str">
        <x:v>Bipolar</x:v>
      </x:c>
      <x:c r="W62" s="24"/>
      <x:c r="X62" s="24"/>
      <x:c r="Y62" s="22"/>
      <x:c r="Z62" s="22" t="str">
        <x:v>Encoder / Brake / Gearhead / Connector</x:v>
      </x:c>
      <x:c r="AA62" s="22" t="str">
        <x:v>기본 Archive 가능 / 동적선정 추가자료 필요</x:v>
      </x:c>
      <x:c r="AB62" s="22" t="str">
        <x:v>파일명 SJM vs PDF Model Name SHD. Holding torque 원문 1.2 mN·m - 단위 재확인 권장</x:v>
      </x:c>
    </x:row>
    <x:row r="63" ht="30" customHeight="1">
      <x:c r="A63" s="22" t="n">
        <x:v>61</x:v>
      </x:c>
      <x:c r="B63" s="22" t="str">
        <x:v>57SJM4425-27BH(57SHD4425-27BH).pdf</x:v>
      </x:c>
      <x:c r="C63" s="22" t="str">
        <x:v>57SJM4425-27BH</x:v>
      </x:c>
      <x:c r="D63" s="22" t="str">
        <x:v>57SJM4425-27BH</x:v>
      </x:c>
      <x:c r="E63" s="22" t="str">
        <x:v>Y</x:v>
      </x:c>
      <x:c r="F63" s="22" t="str">
        <x:v>Mocoze</x:v>
      </x:c>
      <x:c r="G63" s="22" t="str">
        <x:v>2 Phase Stepping Motor</x:v>
      </x:c>
      <x:c r="H63" s="24" t="n">
        <x:v>1.8</x:v>
      </x:c>
      <x:c r="I63" s="24" t="n">
        <x:v>56</x:v>
      </x:c>
      <x:c r="J63" s="24" t="n">
        <x:v>54</x:v>
      </x:c>
      <x:c r="K63" s="22" t="n">
        <x:v>2</x:v>
      </x:c>
      <x:c r="L63" s="26"/>
      <x:c r="M63" s="26" t="n">
        <x:v>2.8</x:v>
      </x:c>
      <x:c r="N63" s="28" t="n">
        <x:v>1260</x:v>
      </x:c>
      <x:c r="O63" s="28" t="n">
        <x:f>N63/1000</x:f>
        <x:v>1.26</x:v>
      </x:c>
      <x:c r="P63" s="26" t="n">
        <x:v>0.9</x:v>
      </x:c>
      <x:c r="Q63" s="26" t="n">
        <x:v>2.5</x:v>
      </x:c>
      <x:c r="R63" s="26" t="n">
        <x:v>300</x:v>
      </x:c>
      <x:c r="S63" s="28" t="n">
        <x:v>0.7</x:v>
      </x:c>
      <x:c r="T63" s="22" t="str">
        <x:v>Class B</x:v>
      </x:c>
      <x:c r="U63" s="22"/>
      <x:c r="V63" s="22" t="str">
        <x:v>Lead Wire</x:v>
      </x:c>
      <x:c r="W63" s="24" t="n">
        <x:v>300</x:v>
      </x:c>
      <x:c r="X63" s="24"/>
      <x:c r="Y63" s="22"/>
      <x:c r="Z63" s="22" t="str">
        <x:v>Encoder / Brake / Gearhead / Connector</x:v>
      </x:c>
      <x:c r="AA63" s="22" t="str">
        <x:v>기본 Archive 가능 / 동적선정 추가자료 필요</x:v>
      </x:c>
      <x:c r="AB63" s="22" t="str">
        <x:v>Resistance 0.9 ohm ±10%(20°C) 표기, Inductance 원문 '2.5 Mh'</x:v>
      </x:c>
    </x:row>
    <x:row r="64" ht="30" customHeight="1">
      <x:c r="A64" s="22" t="n">
        <x:v>62</x:v>
      </x:c>
      <x:c r="B64" s="22" t="str">
        <x:v>57SJM4449-21BH(57SHD4449-21BH).pdf</x:v>
      </x:c>
      <x:c r="C64" s="22" t="str">
        <x:v>57SJM4449-21BH</x:v>
      </x:c>
      <x:c r="D64" s="22" t="str">
        <x:v>57SJM4449-21BH</x:v>
      </x:c>
      <x:c r="E64" s="22" t="str">
        <x:v>Y</x:v>
      </x:c>
      <x:c r="F64" s="22" t="str">
        <x:v>Mocoze</x:v>
      </x:c>
      <x:c r="G64" s="22" t="str">
        <x:v>2 Phase Stepping Motor</x:v>
      </x:c>
      <x:c r="H64" s="24" t="n">
        <x:v>1.8</x:v>
      </x:c>
      <x:c r="I64" s="24" t="n">
        <x:v>56</x:v>
      </x:c>
      <x:c r="J64" s="24" t="n">
        <x:v>41</x:v>
      </x:c>
      <x:c r="K64" s="22" t="n">
        <x:v>2</x:v>
      </x:c>
      <x:c r="L64" s="26"/>
      <x:c r="M64" s="26" t="n">
        <x:v>1.5</x:v>
      </x:c>
      <x:c r="N64" s="28" t="n">
        <x:v>1160</x:v>
      </x:c>
      <x:c r="O64" s="28" t="n">
        <x:f>N64/1000</x:f>
        <x:v>1.16</x:v>
      </x:c>
      <x:c r="P64" s="26" t="n">
        <x:v>3.6</x:v>
      </x:c>
      <x:c r="Q64" s="26" t="n">
        <x:v>13</x:v>
      </x:c>
      <x:c r="R64" s="26" t="n">
        <x:v>260</x:v>
      </x:c>
      <x:c r="S64" s="28" t="n">
        <x:v>0.6</x:v>
      </x:c>
      <x:c r="T64" s="22" t="str">
        <x:v>Class B</x:v>
      </x:c>
      <x:c r="U64" s="22"/>
      <x:c r="V64" s="22" t="str">
        <x:v>Plug-in</x:v>
      </x:c>
      <x:c r="W64" s="24" t="n">
        <x:v>300</x:v>
      </x:c>
      <x:c r="X64" s="24"/>
      <x:c r="Y64" s="22"/>
      <x:c r="Z64" s="22" t="str">
        <x:v>Encoder / Brake / Gearhead / Connector</x:v>
      </x:c>
      <x:c r="AA64" s="22" t="str">
        <x:v>기본 Archive 가능 / 동적선정 추가자료 필요</x:v>
      </x:c>
      <x:c r="AB64" s="22" t="str">
        <x:v>Holding Torque 1.16 N·m를 공통단위 1,160 mN·m로 환산</x:v>
      </x:c>
    </x:row>
    <x:row r="65" ht="30" customHeight="1">
      <x:c r="A65" s="22" t="n">
        <x:v>63</x:v>
      </x:c>
      <x:c r="B65" s="22" t="str">
        <x:v>57SJM4801-20(57SHD4801-20).pdf</x:v>
      </x:c>
      <x:c r="C65" s="22" t="str">
        <x:v>57SJM4801-20</x:v>
      </x:c>
      <x:c r="D65" s="22" t="str">
        <x:v>57SJM4801-20</x:v>
      </x:c>
      <x:c r="E65" s="22" t="str">
        <x:v>Y</x:v>
      </x:c>
      <x:c r="F65" s="22" t="str">
        <x:v>Mocoze</x:v>
      </x:c>
      <x:c r="G65" s="22" t="str">
        <x:v>2 Phase Stepping Motor</x:v>
      </x:c>
      <x:c r="H65" s="24" t="n">
        <x:v>1.8</x:v>
      </x:c>
      <x:c r="I65" s="24" t="n">
        <x:v>57</x:v>
      </x:c>
      <x:c r="J65" s="24" t="n">
        <x:v>76</x:v>
      </x:c>
      <x:c r="K65" s="22" t="n">
        <x:v>2</x:v>
      </x:c>
      <x:c r="L65" s="26"/>
      <x:c r="M65" s="26" t="n">
        <x:v>0.8</x:v>
      </x:c>
      <x:c r="N65" s="28" t="n">
        <x:v>1.75</x:v>
      </x:c>
      <x:c r="O65" s="28" t="n">
        <x:f>N65/1000</x:f>
        <x:v>0.00175</x:v>
      </x:c>
      <x:c r="P65" s="26" t="n">
        <x:v>12</x:v>
      </x:c>
      <x:c r="Q65" s="26" t="n">
        <x:v>48</x:v>
      </x:c>
      <x:c r="R65" s="26" t="n">
        <x:v>460</x:v>
      </x:c>
      <x:c r="S65" s="28" t="n">
        <x:v>1</x:v>
      </x:c>
      <x:c r="T65" s="22"/>
      <x:c r="U65" s="22" t="n">
        <x:v>4</x:v>
      </x:c>
      <x:c r="V65" s="22" t="str">
        <x:v>Bipolar</x:v>
      </x:c>
      <x:c r="W65" s="24"/>
      <x:c r="X65" s="24"/>
      <x:c r="Y65" s="22"/>
      <x:c r="Z65" s="22" t="str">
        <x:v>Encoder / Brake / Gearhead / Connector</x:v>
      </x:c>
      <x:c r="AA65" s="22" t="str">
        <x:v>기본 Archive 가능 / 동적선정 추가자료 필요</x:v>
      </x:c>
      <x:c r="AB65" s="22" t="str">
        <x:v>Holding torque 원문 1.75 mN·m - 단위 재확인 권장</x:v>
      </x:c>
    </x:row>
    <x:row r="66" ht="30" customHeight="1">
      <x:c r="A66" s="22" t="n">
        <x:v>64</x:v>
      </x:c>
      <x:c r="B66" s="22" t="str">
        <x:v>57SJM4801-20H(57SHD4801-20H).pdf</x:v>
      </x:c>
      <x:c r="C66" s="22" t="str">
        <x:v>57SJM4801-20H</x:v>
      </x:c>
      <x:c r="D66" s="22" t="str">
        <x:v>57SJM4801-20H</x:v>
      </x:c>
      <x:c r="E66" s="22" t="str">
        <x:v>Y</x:v>
      </x:c>
      <x:c r="F66" s="22" t="str">
        <x:v>Mocoze</x:v>
      </x:c>
      <x:c r="G66" s="22" t="str">
        <x:v>2 Phase Stepping Motor</x:v>
      </x:c>
      <x:c r="H66" s="24" t="n">
        <x:v>1.8</x:v>
      </x:c>
      <x:c r="I66" s="24" t="n">
        <x:v>56</x:v>
      </x:c>
      <x:c r="J66" s="24" t="n">
        <x:v>76</x:v>
      </x:c>
      <x:c r="K66" s="22" t="n">
        <x:v>2</x:v>
      </x:c>
      <x:c r="L66" s="26"/>
      <x:c r="M66" s="26" t="n">
        <x:v>0.8</x:v>
      </x:c>
      <x:c r="N66" s="28" t="n">
        <x:v>1750</x:v>
      </x:c>
      <x:c r="O66" s="28" t="n">
        <x:f>N66/1000</x:f>
        <x:v>1.75</x:v>
      </x:c>
      <x:c r="P66" s="26" t="n">
        <x:v>12</x:v>
      </x:c>
      <x:c r="Q66" s="26" t="n">
        <x:v>48</x:v>
      </x:c>
      <x:c r="R66" s="26" t="n">
        <x:v>460</x:v>
      </x:c>
      <x:c r="S66" s="28" t="n">
        <x:v>1</x:v>
      </x:c>
      <x:c r="T66" s="22" t="str">
        <x:v>Class B</x:v>
      </x:c>
      <x:c r="U66" s="22"/>
      <x:c r="V66" s="22" t="str">
        <x:v>Lead Wire</x:v>
      </x:c>
      <x:c r="W66" s="24"/>
      <x:c r="X66" s="24"/>
      <x:c r="Y66" s="22"/>
      <x:c r="Z66" s="22" t="str">
        <x:v>Encoder / Brake / Gearhead / Connector</x:v>
      </x:c>
      <x:c r="AA66" s="22" t="str">
        <x:v>기본 Archive 가능 / 동적선정 추가자료 필요</x:v>
      </x:c>
      <x:c r="AB66" s="22" t="str">
        <x:v>Holding Torque 1.75 N·m를 1,750 mN·m로 환산. Wire Length는 PDF에 '정보 없음'</x:v>
      </x:c>
    </x:row>
    <x:row r="67" ht="30" customHeight="1">
      <x:c r="A67" s="22" t="n">
        <x:v>65</x:v>
      </x:c>
      <x:c r="B67" s="22" t="str">
        <x:v>57SJM4932-20B(57SHD4932-20B).pdf</x:v>
      </x:c>
      <x:c r="C67" s="22" t="str">
        <x:v>57SJM4932-20B</x:v>
      </x:c>
      <x:c r="D67" s="22" t="str">
        <x:v>57SJM4932-20B</x:v>
      </x:c>
      <x:c r="E67" s="22" t="str">
        <x:v>Y</x:v>
      </x:c>
      <x:c r="F67" s="22" t="str">
        <x:v>Mocoze</x:v>
      </x:c>
      <x:c r="G67" s="22" t="str">
        <x:v>2 Phase Stepping Motor</x:v>
      </x:c>
      <x:c r="H67" s="24" t="n">
        <x:v>1.8</x:v>
      </x:c>
      <x:c r="I67" s="24" t="n">
        <x:v>56</x:v>
      </x:c>
      <x:c r="J67" s="24" t="n">
        <x:v>100</x:v>
      </x:c>
      <x:c r="K67" s="22" t="n">
        <x:v>2</x:v>
      </x:c>
      <x:c r="L67" s="26"/>
      <x:c r="M67" s="26" t="n">
        <x:v>3.5</x:v>
      </x:c>
      <x:c r="N67" s="28" t="n">
        <x:v>3200</x:v>
      </x:c>
      <x:c r="O67" s="28" t="n">
        <x:f>N67/1000</x:f>
        <x:v>3.2</x:v>
      </x:c>
      <x:c r="P67" s="26" t="n">
        <x:v>2.1</x:v>
      </x:c>
      <x:c r="Q67" s="26" t="n">
        <x:v>7.5</x:v>
      </x:c>
      <x:c r="R67" s="26" t="n">
        <x:v>650</x:v>
      </x:c>
      <x:c r="S67" s="28" t="n">
        <x:v>1.3</x:v>
      </x:c>
      <x:c r="T67" s="22" t="str">
        <x:v>Class B</x:v>
      </x:c>
      <x:c r="U67" s="22"/>
      <x:c r="V67" s="22" t="str">
        <x:v>Lead Wire</x:v>
      </x:c>
      <x:c r="W67" s="24" t="n">
        <x:v>1300</x:v>
      </x:c>
      <x:c r="X67" s="24"/>
      <x:c r="Y67" s="22"/>
      <x:c r="Z67" s="22" t="str">
        <x:v>Encoder / Brake / Gearhead / Connector</x:v>
      </x:c>
      <x:c r="AA67" s="22" t="str">
        <x:v>기본 Archive 가능 / 동적선정 추가자료 필요</x:v>
      </x:c>
      <x:c r="AB67" s="22" t="str"/>
    </x:row>
    <x:row r="68" ht="30" customHeight="1">
      <x:c r="A68" s="22" t="n">
        <x:v>66</x:v>
      </x:c>
      <x:c r="B68" s="22" t="str">
        <x:v>57SJM4934-20B(57SHD4934-20B)(1).pdf</x:v>
      </x:c>
      <x:c r="C68" s="22" t="str">
        <x:v>57SJM4934-20B</x:v>
      </x:c>
      <x:c r="D68" s="22" t="str">
        <x:v>57SJM4934-20B</x:v>
      </x:c>
      <x:c r="E68" s="22" t="str">
        <x:v>Y</x:v>
      </x:c>
      <x:c r="F68" s="22" t="str">
        <x:v>Mocoze</x:v>
      </x:c>
      <x:c r="G68" s="22" t="str">
        <x:v>4 Phase Stepping Motor</x:v>
      </x:c>
      <x:c r="H68" s="24" t="n">
        <x:v>1.8</x:v>
      </x:c>
      <x:c r="I68" s="24" t="n">
        <x:v>56</x:v>
      </x:c>
      <x:c r="J68" s="24" t="n">
        <x:v>100</x:v>
      </x:c>
      <x:c r="K68" s="22" t="n">
        <x:v>4</x:v>
      </x:c>
      <x:c r="L68" s="26"/>
      <x:c r="M68" s="26" t="n">
        <x:v>3</x:v>
      </x:c>
      <x:c r="N68" s="28" t="n">
        <x:v>3400</x:v>
      </x:c>
      <x:c r="O68" s="28" t="n">
        <x:f>N68/1000</x:f>
        <x:v>3.4</x:v>
      </x:c>
      <x:c r="P68" s="26" t="n">
        <x:v>2.1</x:v>
      </x:c>
      <x:c r="Q68" s="26" t="n">
        <x:v>7.5</x:v>
      </x:c>
      <x:c r="R68" s="26" t="n">
        <x:v>650</x:v>
      </x:c>
      <x:c r="S68" s="28" t="n">
        <x:v>1.3</x:v>
      </x:c>
      <x:c r="T68" s="22" t="str">
        <x:v>Class B</x:v>
      </x:c>
      <x:c r="U68" s="22"/>
      <x:c r="V68" s="22" t="str">
        <x:v>Lead Wire</x:v>
      </x:c>
      <x:c r="W68" s="24" t="n">
        <x:v>350</x:v>
      </x:c>
      <x:c r="X68" s="24"/>
      <x:c r="Y68" s="22"/>
      <x:c r="Z68" s="22" t="str">
        <x:v>Encoder / Brake / Gearhead / Connector</x:v>
      </x:c>
      <x:c r="AA68" s="22" t="str">
        <x:v>기본 Archive 가능 / 동적선정 추가자료 필요</x:v>
      </x:c>
      <x:c r="AB68" s="22" t="str">
        <x:v>4 Phase 모델</x:v>
      </x:c>
    </x:row>
    <x:row r="69" ht="30" customHeight="1">
      <x:c r="A69" s="22" t="n">
        <x:v>67</x:v>
      </x:c>
      <x:c r="B69" s="22" t="str">
        <x:v>57SJM4934-34B(57SHD4934-34B)(1).pdf</x:v>
      </x:c>
      <x:c r="C69" s="22" t="str">
        <x:v>57SJM4934-34B</x:v>
      </x:c>
      <x:c r="D69" s="22" t="str">
        <x:v>57SJM4934-34B</x:v>
      </x:c>
      <x:c r="E69" s="22" t="str">
        <x:v>Y</x:v>
      </x:c>
      <x:c r="F69" s="22" t="str">
        <x:v>Mocoze</x:v>
      </x:c>
      <x:c r="G69" s="22" t="str">
        <x:v>2 Phase Stepping Motor</x:v>
      </x:c>
      <x:c r="H69" s="24" t="n">
        <x:v>1.8</x:v>
      </x:c>
      <x:c r="I69" s="24" t="n">
        <x:v>56</x:v>
      </x:c>
      <x:c r="J69" s="24" t="n">
        <x:v>100</x:v>
      </x:c>
      <x:c r="K69" s="22" t="n">
        <x:v>2</x:v>
      </x:c>
      <x:c r="L69" s="26"/>
      <x:c r="M69" s="26" t="n">
        <x:v>3</x:v>
      </x:c>
      <x:c r="N69" s="28" t="n">
        <x:v>3000</x:v>
      </x:c>
      <x:c r="O69" s="28" t="n">
        <x:f>N69/1000</x:f>
        <x:v>3</x:v>
      </x:c>
      <x:c r="P69" s="26" t="n">
        <x:v>2.8</x:v>
      </x:c>
      <x:c r="Q69" s="26" t="n">
        <x:v>11</x:v>
      </x:c>
      <x:c r="R69" s="26" t="n">
        <x:v>650</x:v>
      </x:c>
      <x:c r="S69" s="28" t="n">
        <x:v>1.3</x:v>
      </x:c>
      <x:c r="T69" s="22" t="str">
        <x:v>Class B</x:v>
      </x:c>
      <x:c r="U69" s="22"/>
      <x:c r="V69" s="22" t="str">
        <x:v>Lead Wire</x:v>
      </x:c>
      <x:c r="W69" s="24" t="n">
        <x:v>1300</x:v>
      </x:c>
      <x:c r="X69" s="24"/>
      <x:c r="Y69" s="22"/>
      <x:c r="Z69" s="22" t="str">
        <x:v>Encoder / Brake / Gearhead / Connector</x:v>
      </x:c>
      <x:c r="AA69" s="22" t="str">
        <x:v>기본 Archive 가능 / 동적선정 추가자료 필요</x:v>
      </x:c>
      <x:c r="AB69" s="22" t="str"/>
    </x:row>
  </x:sheetData>
  <x:mergeCells>
    <x:mergeCell ref="A1:AB1"/>
  </x:mergeCells>
  <x:conditionalFormatting sqref="E3:E42">
    <x:cfRule type="expression" dxfId="0" priority="1">
      <x:formula>E3="확인"</x:formula>
    </x:cfRule>
  </x:conditionalFormatting>
  <x:conditionalFormatting sqref="AB3:AB42">
    <x:cfRule type="expression" dxfId="1" priority="2">
      <x:formula>AB3&lt;&gt;""</x:formula>
    </x:cfRule>
  </x:conditionalFormatting>
  <x:conditionalFormatting sqref="AB43:AB50">
    <x:cfRule type="expression" dxfId="2" priority="3">
      <x:formula>AB43&lt;&gt;""</x:formula>
    </x:cfRule>
  </x:conditionalFormatting>
  <x:conditionalFormatting sqref="E51:E69">
    <x:cfRule type="expression" dxfId="3" priority="4">
      <x:formula>E51="확인"</x:formula>
    </x:cfRule>
  </x:conditionalFormatting>
  <x:conditionalFormatting sqref="AB51:AB69">
    <x:cfRule type="expression" dxfId="4" priority="5">
      <x:formula>AB51&lt;&gt;""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4c6d52c6f4c4a02"/>
  </x:tableParts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32" hidden="0" customWidth="1"/>
    <x:col min="4" max="4" width="28" hidden="0" customWidth="1"/>
    <x:col min="5" max="5" width="16" hidden="0" customWidth="1"/>
    <x:col min="6" max="6" width="34" hidden="0" customWidth="1"/>
  </x:cols>
  <x:sheetData>
    <x:row r="1">
      <x:c r="A1" s="134" t="str">
        <x:v>Archive Field Definitions / Recommendation Dashboard Use</x:v>
      </x:c>
      <x:c r="B1" s="134"/>
      <x:c r="C1" s="134"/>
      <x:c r="D1" s="134"/>
      <x:c r="E1" s="134"/>
      <x:c r="F1" s="134"/>
    </x:row>
    <x:row r="2">
      <x:c r="A2" s="105"/>
      <x:c r="B2" s="105"/>
      <x:c r="C2" s="105"/>
      <x:c r="D2" s="105"/>
      <x:c r="E2" s="105"/>
      <x:c r="F2" s="105"/>
    </x:row>
    <x:row r="3">
      <x:c r="A3" s="106" t="str">
        <x:v>필드</x:v>
      </x:c>
      <x:c r="B3" s="106" t="str">
        <x:v>단위</x:v>
      </x:c>
      <x:c r="C3" s="106" t="str">
        <x:v>의미</x:v>
      </x:c>
      <x:c r="D3" s="106" t="str">
        <x:v>추천 Logic 활용</x:v>
      </x:c>
      <x:c r="E3" s="106" t="str">
        <x:v>40개 커버리지</x:v>
      </x:c>
      <x:c r="F3" s="106" t="str">
        <x:v>비고</x:v>
      </x:c>
    </x:row>
    <x:row r="4">
      <x:c r="A4" s="107" t="str">
        <x:v>Step Angle</x:v>
      </x:c>
      <x:c r="B4" s="107" t="str">
        <x:v>deg</x:v>
      </x:c>
      <x:c r="C4" s="107" t="str">
        <x:v>1 step당 회전각</x:v>
      </x:c>
      <x:c r="D4" s="107" t="str">
        <x:v>기본 필터</x:v>
      </x:c>
      <x:c r="E4" s="107" t="str">
        <x:v>67/67</x:v>
      </x:c>
      <x:c r="F4" s="107" t="str">
        <x:v>1.2° 모델 1개, 나머지 대부분 1.8°</x:v>
      </x:c>
    </x:row>
    <x:row r="5">
      <x:c r="A5" s="107" t="str">
        <x:v>Frame Size</x:v>
      </x:c>
      <x:c r="B5" s="107" t="str">
        <x:v>mm</x:v>
      </x:c>
      <x:c r="C5" s="107" t="str">
        <x:v>모터 프레임 크기</x:v>
      </x:c>
      <x:c r="D5" s="107" t="str">
        <x:v>설치공간 필터</x:v>
      </x:c>
      <x:c r="E5" s="107" t="str">
        <x:v>67/67</x:v>
      </x:c>
      <x:c r="F5" s="107" t="str"/>
    </x:row>
    <x:row r="6">
      <x:c r="A6" s="107" t="str">
        <x:v>Motor Length</x:v>
      </x:c>
      <x:c r="B6" s="107" t="str">
        <x:v>mm</x:v>
      </x:c>
      <x:c r="C6" s="107" t="str">
        <x:v>모터 본체 길이</x:v>
      </x:c>
      <x:c r="D6" s="107" t="str">
        <x:v>설치공간 필터</x:v>
      </x:c>
      <x:c r="E6" s="107" t="str">
        <x:v>67/67</x:v>
      </x:c>
      <x:c r="F6" s="107" t="str"/>
    </x:row>
    <x:row r="7">
      <x:c r="A7" s="107" t="str">
        <x:v>Rated Current</x:v>
      </x:c>
      <x:c r="B7" s="107" t="str">
        <x:v>A</x:v>
      </x:c>
      <x:c r="C7" s="107" t="str">
        <x:v>정격 전류</x:v>
      </x:c>
      <x:c r="D7" s="107" t="str">
        <x:v>드라이버/전원 조건</x:v>
      </x:c>
      <x:c r="E7" s="107" t="str">
        <x:v>67/67</x:v>
      </x:c>
      <x:c r="F7" s="107" t="str"/>
    </x:row>
    <x:row r="8">
      <x:c r="A8" s="107" t="str">
        <x:v>Holding Torque</x:v>
      </x:c>
      <x:c r="B8" s="107" t="str">
        <x:v>mN·m</x:v>
      </x:c>
      <x:c r="C8" s="107" t="str">
        <x:v>정지 상태 유지 토크</x:v>
      </x:c>
      <x:c r="D8" s="107" t="str">
        <x:v>1차 후보 필터</x:v>
      </x:c>
      <x:c r="E8" s="107" t="str">
        <x:v>67/67</x:v>
      </x:c>
      <x:c r="F8" s="107" t="str">
        <x:v>동적 운전 토크와 동일하지 않음</x:v>
      </x:c>
    </x:row>
    <x:row r="9">
      <x:c r="A9" s="107" t="str">
        <x:v>Rotor Inertia</x:v>
      </x:c>
      <x:c r="B9" s="107" t="str">
        <x:v>g·cm²</x:v>
      </x:c>
      <x:c r="C9" s="107" t="str">
        <x:v>로터 관성모멘트</x:v>
      </x:c>
      <x:c r="D9" s="107" t="str">
        <x:v>관성비 계산</x:v>
      </x:c>
      <x:c r="E9" s="107" t="str">
        <x:v>67/67</x:v>
      </x:c>
      <x:c r="F9" s="107" t="str">
        <x:v>동적 선정에 중요</x:v>
      </x:c>
    </x:row>
    <x:row r="10">
      <x:c r="A10" s="107" t="str">
        <x:v>Resistance</x:v>
      </x:c>
      <x:c r="B10" s="107" t="str">
        <x:v>ohm</x:v>
      </x:c>
      <x:c r="C10" s="107" t="str">
        <x:v>권선 저항</x:v>
      </x:c>
      <x:c r="D10" s="107" t="str">
        <x:v>전기특성/드라이버 검토</x:v>
      </x:c>
      <x:c r="E10" s="107" t="str">
        <x:v>67/67</x:v>
      </x:c>
      <x:c r="F10" s="107" t="str"/>
    </x:row>
    <x:row r="11">
      <x:c r="A11" s="107" t="str">
        <x:v>Inductance</x:v>
      </x:c>
      <x:c r="B11" s="107" t="str">
        <x:v>mH</x:v>
      </x:c>
      <x:c r="C11" s="107" t="str">
        <x:v>권선 인덕턴스</x:v>
      </x:c>
      <x:c r="D11" s="107" t="str">
        <x:v>고속영역 특성 검토</x:v>
      </x:c>
      <x:c r="E11" s="107" t="str">
        <x:v>67/67</x:v>
      </x:c>
      <x:c r="F11" s="107" t="str"/>
    </x:row>
    <x:row r="12">
      <x:c r="A12" s="107" t="str">
        <x:v>Rated Voltage</x:v>
      </x:c>
      <x:c r="B12" s="107" t="str">
        <x:v>V</x:v>
      </x:c>
      <x:c r="C12" s="107" t="str">
        <x:v>정격 전압</x:v>
      </x:c>
      <x:c r="D12" s="107" t="str">
        <x:v>전원/드라이버 조건</x:v>
      </x:c>
      <x:c r="E12" s="107" t="str">
        <x:v>1/67</x:v>
      </x:c>
      <x:c r="F12" s="107" t="str">
        <x:v>대부분 PDF에 미기재</x:v>
      </x:c>
    </x:row>
    <x:row r="13">
      <x:c r="A13" s="107" t="str">
        <x:v>Torque-Speed Curve</x:v>
      </x:c>
      <x:c r="B13" s="107" t="str">
        <x:v>-</x:v>
      </x:c>
      <x:c r="C13" s="107" t="str">
        <x:v>속도별 가용 토크 곡선</x:v>
      </x:c>
      <x:c r="D13" s="107" t="str">
        <x:v>동적 선정 핵심</x:v>
      </x:c>
      <x:c r="E13" s="107" t="str">
        <x:v>0/67</x:v>
      </x:c>
      <x:c r="F13" s="107" t="str">
        <x:v>추가 확보 필요</x:v>
      </x:c>
    </x:row>
    <x:row r="14">
      <x:c r="A14" s="107" t="str">
        <x:v>Max / Operating Speed</x:v>
      </x:c>
      <x:c r="B14" s="107" t="str">
        <x:v>rpm</x:v>
      </x:c>
      <x:c r="C14" s="107" t="str">
        <x:v>운전 가능 속도 범위</x:v>
      </x:c>
      <x:c r="D14" s="107" t="str">
        <x:v>속도 조건 판정</x:v>
      </x:c>
      <x:c r="E14" s="107" t="str">
        <x:v>0/67</x:v>
      </x:c>
      <x:c r="F14" s="107" t="str">
        <x:v>추가 확보 필요</x:v>
      </x:c>
    </x:row>
    <x:row r="15">
      <x:c r="A15" s="107" t="str">
        <x:v>Driver Matching</x:v>
      </x:c>
      <x:c r="B15" s="107" t="str">
        <x:v>model</x:v>
      </x:c>
      <x:c r="C15" s="107" t="str">
        <x:v>권장 드라이버 조합</x:v>
      </x:c>
      <x:c r="D15" s="107" t="str">
        <x:v>실사용 추천</x:v>
      </x:c>
      <x:c r="E15" s="107" t="str">
        <x:v>0/67</x:v>
      </x:c>
      <x:c r="F15" s="107" t="str">
        <x:v>추가 확보 필요</x:v>
      </x:c>
    </x:row>
    <x:row r="16">
      <x:c r="A16" s="107" t="str">
        <x:v>Shaft / Mount Dimensions</x:v>
      </x:c>
      <x:c r="B16" s="107" t="str">
        <x:v>mm</x:v>
      </x:c>
      <x:c r="C16" s="107" t="str">
        <x:v>축 및 체결 치수</x:v>
      </x:c>
      <x:c r="D16" s="107" t="str">
        <x:v>기계적 호환성</x:v>
      </x:c>
      <x:c r="E16" s="107" t="str">
        <x:v>부분</x:v>
      </x:c>
      <x:c r="F16" s="107" t="str">
        <x:v>PDF 3페이지 도면 구조화 필요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18331e809984cd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40" hidden="0" customWidth="1"/>
    <x:col min="4" max="4" width="18" hidden="0" customWidth="1"/>
    <x:col min="5" max="5" width="44" hidden="0" customWidth="1"/>
    <x:col min="6" max="6" width="44" hidden="0" customWidth="1"/>
  </x:cols>
  <x:sheetData>
    <x:row r="1">
      <x:c r="A1" s="136" t="str">
        <x:v>Integrated 40 Models - Data Quality / Verification List</x:v>
      </x:c>
      <x:c r="B1" s="136"/>
      <x:c r="C1" s="136"/>
      <x:c r="D1" s="136"/>
      <x:c r="E1" s="136"/>
      <x:c r="F1" s="136"/>
    </x:row>
    <x:row r="2">
      <x:c r="A2" s="105"/>
      <x:c r="B2" s="105"/>
      <x:c r="C2" s="105"/>
      <x:c r="D2" s="105"/>
      <x:c r="E2" s="105"/>
      <x:c r="F2" s="105"/>
    </x:row>
    <x:row r="3">
      <x:c r="A3" s="113" t="str">
        <x:v>No</x:v>
      </x:c>
      <x:c r="B3" s="113" t="str">
        <x:v>모델</x:v>
      </x:c>
      <x:c r="C3" s="113" t="str">
        <x:v>원본 PDF</x:v>
      </x:c>
      <x:c r="D3" s="113" t="str">
        <x:v>이슈 유형</x:v>
      </x:c>
      <x:c r="E3" s="113" t="str">
        <x:v>원문/확인사항</x:v>
      </x:c>
      <x:c r="F3" s="113" t="str">
        <x:v>권장 조치</x:v>
      </x:c>
    </x:row>
    <x:row r="4">
      <x:c r="A4" s="107" t="n">
        <x:v>1</x:v>
      </x:c>
      <x:c r="B4" s="107" t="str">
        <x:v>35SJM0810-24B</x:v>
      </x:c>
      <x:c r="C4" s="107" t="str">
        <x:v>35SJM0810-24B(35SHD0810-24B).pdf</x:v>
      </x:c>
      <x:c r="D4" s="107" t="str">
        <x:v>문서 내부 불일치</x:v>
      </x:c>
      <x:c r="E4" s="107" t="str">
        <x:v>P1 SIZE 35×35×34 mm vs P2 Motor Length 40 mm</x:v>
      </x:c>
      <x:c r="F4" s="107" t="str">
        <x:v>원본 카탈로그/도면으로 길이 확인</x:v>
      </x:c>
    </x:row>
    <x:row r="5">
      <x:c r="A5" s="107" t="n">
        <x:v>2</x:v>
      </x:c>
      <x:c r="B5" s="107" t="str">
        <x:v>14SJM4001-15B</x:v>
      </x:c>
      <x:c r="C5" s="107" t="str">
        <x:v>14SJM4001-15B(14SHD4001-15B).pdf</x:v>
      </x:c>
      <x:c r="D5" s="107" t="str">
        <x:v>모델명 불일치</x:v>
      </x:c>
      <x:c r="E5" s="107" t="str">
        <x:v>파일명: 14SJM4001-15B / PDF 본문: 14SJM4001-15</x:v>
      </x:c>
      <x:c r="F5" s="107" t="str">
        <x:v>정식 모델명 확인</x:v>
      </x:c>
    </x:row>
    <x:row r="6">
      <x:c r="A6" s="107" t="n">
        <x:v>3</x:v>
      </x:c>
      <x:c r="B6" s="107" t="str">
        <x:v>20SJM4502-19B</x:v>
      </x:c>
      <x:c r="C6" s="107" t="str">
        <x:v>20SJM4502-19B.pdf</x:v>
      </x:c>
      <x:c r="D6" s="107" t="str">
        <x:v>모델명 불일치</x:v>
      </x:c>
      <x:c r="E6" s="107" t="str">
        <x:v>파일명: 20SJM4502-19B / PDF 본문: 20SJM4502-19B1</x:v>
      </x:c>
      <x:c r="F6" s="107" t="str">
        <x:v>정식 모델명 확인</x:v>
      </x:c>
    </x:row>
    <x:row r="7">
      <x:c r="A7" s="107" t="n">
        <x:v>4</x:v>
      </x:c>
      <x:c r="B7" s="107" t="str">
        <x:v>28SJM4201-15P</x:v>
      </x:c>
      <x:c r="C7" s="107" t="str">
        <x:v>28SJM4201-15P(28SHD4201-15P).pdf</x:v>
      </x:c>
      <x:c r="D7" s="107" t="str">
        <x:v>사양값 재확인</x:v>
      </x:c>
      <x:c r="E7" s="107" t="str">
        <x:v>Wire Length = 38 mm</x:v>
      </x:c>
      <x:c r="F7" s="107" t="str">
        <x:v>원본 제품도/실물 기준 확인</x:v>
      </x:c>
    </x:row>
    <x:row r="8">
      <x:c r="A8" s="107" t="n">
        <x:v>5</x:v>
      </x:c>
      <x:c r="B8" s="107" t="str">
        <x:v>28SJM4217-15B</x:v>
      </x:c>
      <x:c r="C8" s="107" t="str">
        <x:v>28SJM4217-15B(28SHD4217-15B).pdf</x:v>
      </x:c>
      <x:c r="D8" s="107" t="str">
        <x:v>사양값 재확인</x:v>
      </x:c>
      <x:c r="E8" s="107" t="str">
        <x:v>Rated Current 3.0 A, Resistance 30 ohm, Wire Length 38 mm</x:v>
      </x:c>
      <x:c r="F8" s="107" t="str">
        <x:v>카탈로그 오기 여부 확인</x:v>
      </x:c>
    </x:row>
    <x:row r="9">
      <x:c r="A9" s="107" t="n">
        <x:v>6</x:v>
      </x:c>
      <x:c r="B9" s="107" t="str">
        <x:v>20SHD0014-10B</x:v>
      </x:c>
      <x:c r="C9" s="107" t="str">
        <x:v>20SHD0014-10B.pdf</x:v>
      </x:c>
      <x:c r="D9" s="107" t="str">
        <x:v>스캔/도면형</x:v>
      </x:c>
      <x:c r="E9" s="107" t="str">
        <x:v>텍스트 표준 추출이 어려운 도면형 PDF</x:v>
      </x:c>
      <x:c r="F9" s="107" t="str">
        <x:v>향후 원본 CAD/정식 사양표로 교차검증</x:v>
      </x:c>
    </x:row>
    <x:row r="10">
      <x:c r="A10" s="107" t="n">
        <x:v>7</x:v>
      </x:c>
      <x:c r="B10" s="107" t="str">
        <x:v>39SJM4101-10</x:v>
      </x:c>
      <x:c r="C10" s="107" t="str">
        <x:v>39SJM4101-10(39SHD4101-10).pdf</x:v>
      </x:c>
      <x:c r="D10" s="107" t="str">
        <x:v>문서 내부 불일치</x:v>
      </x:c>
      <x:c r="E10" s="107" t="str">
        <x:v>P1 Highlight Holding Torque 120 mN·m / P2 Motor Specifications 155 mN·m</x:v>
      </x:c>
      <x:c r="F10" s="107" t="str">
        <x:v>정식 사양 확인</x:v>
      </x:c>
    </x:row>
    <x:row r="11">
      <x:c r="A11" s="107" t="n">
        <x:v>8</x:v>
      </x:c>
      <x:c r="B11" s="107" t="str">
        <x:v>39SJM4317-11</x:v>
      </x:c>
      <x:c r="C11" s="107" t="str">
        <x:v>39SJM4317-11(39SHD4317-11).pdf</x:v>
      </x:c>
      <x:c r="D11" s="107" t="str">
        <x:v>문서 내부 불일치</x:v>
      </x:c>
      <x:c r="E11" s="107" t="str">
        <x:v>P1 Highlight Rated Current 0.4 A / P2 Motor Specifications 0.6 A</x:v>
      </x:c>
      <x:c r="F11" s="107" t="str">
        <x:v>정식 사양 확인</x:v>
      </x:c>
    </x:row>
    <x:row r="12">
      <x:c r="A12" s="20" t="n">
        <x:v>9</x:v>
      </x:c>
      <x:c r="B12" s="20" t="str">
        <x:v>60SJM6705-21B</x:v>
      </x:c>
      <x:c r="C12" s="20" t="str">
        <x:v>60SJM6705-21B(60SHD6705-21B).pdf</x:v>
      </x:c>
      <x:c r="D12" s="20" t="str">
        <x:v>문서 내부 불일치</x:v>
      </x:c>
      <x:c r="E12" s="20" t="str">
        <x:v>P1 제목/제품표기는 2 Phase, P2 Motor Specifications의 Number of Phase는 4 Phase</x:v>
      </x:c>
      <x:c r="F12" s="20" t="str">
        <x:v>정식 사양서 또는 제조사 확인 필요</x:v>
      </x:c>
    </x:row>
    <x:row r="13">
      <x:c r="A13" s="20" t="n">
        <x:v>10</x:v>
      </x:c>
      <x:c r="B13" s="20" t="str">
        <x:v>57SJM4974-21BH</x:v>
      </x:c>
      <x:c r="C13" s="20" t="str">
        <x:v>57SJM4974-21BH(57SHD4974-21BH)(1).pdf</x:v>
      </x:c>
      <x:c r="D13" s="20" t="str">
        <x:v>문서 내부 불일치</x:v>
      </x:c>
      <x:c r="E13" s="20" t="str">
        <x:v>P1 SIZE 57×57×112 mm / P2 Motor Length 76 mm</x:v>
      </x:c>
      <x:c r="F13" s="20" t="str">
        <x:v>정식 치수 확인</x:v>
      </x:c>
    </x:row>
    <x:row r="14">
      <x:c r="A14" s="20" t="n">
        <x:v>11</x:v>
      </x:c>
      <x:c r="B14" s="20" t="str">
        <x:v>57SJM4974-21BH</x:v>
      </x:c>
      <x:c r="C14" s="20" t="str">
        <x:v>57SJM4974-21BH(57SHD4974-21BH)(1).pdf</x:v>
      </x:c>
      <x:c r="D14" s="20" t="str">
        <x:v>사양 단위 재확인</x:v>
      </x:c>
      <x:c r="E14" s="20" t="str">
        <x:v>P1/P2 Holding torque 모두 3.0 mN·m로 표기</x:v>
      </x:c>
      <x:c r="F14" s="20" t="str">
        <x:v>정식 사양서에서 토크 단위 확인</x:v>
      </x:c>
    </x:row>
    <x:row r="15">
      <x:c r="A15" s="20" t="n">
        <x:v>12</x:v>
      </x:c>
      <x:c r="B15" s="20" t="str">
        <x:v>57SJM0013-25C</x:v>
      </x:c>
      <x:c r="C15" s="20" t="str">
        <x:v>57SJM0013-25C(57SHD0013-25C).pdf</x:v>
      </x:c>
      <x:c r="D15" s="20" t="str">
        <x:v>문서 내부 불일치</x:v>
      </x:c>
      <x:c r="E15" s="20" t="str">
        <x:v>P1 Holding Torque 0.6 mN·m / P2 0.6 N·m</x:v>
      </x:c>
      <x:c r="F15" s="20" t="str">
        <x:v>P2 기준 입력, 제조사 확인 권장</x:v>
      </x:c>
    </x:row>
    <x:row r="16">
      <x:c r="A16" s="20" t="n">
        <x:v>13</x:v>
      </x:c>
      <x:c r="B16" s="20" t="str">
        <x:v>57SJM0016-21</x:v>
      </x:c>
      <x:c r="C16" s="20" t="str">
        <x:v>57SJM0016-21(57SHD0016-21).pdf</x:v>
      </x:c>
      <x:c r="D16" s="20" t="str">
        <x:v>문서 내부 불일치</x:v>
      </x:c>
      <x:c r="E16" s="20" t="str">
        <x:v>P1 Holding Torque 0.32 mN·m / P2 0.32 N·m</x:v>
      </x:c>
      <x:c r="F16" s="20" t="str">
        <x:v>P2 기준 입력, 제조사 확인 권장</x:v>
      </x:c>
    </x:row>
    <x:row r="17">
      <x:c r="A17" s="20" t="n">
        <x:v>14</x:v>
      </x:c>
      <x:c r="B17" s="20" t="str">
        <x:v>57SJM0021-21M</x:v>
      </x:c>
      <x:c r="C17" s="20" t="str">
        <x:v>57SJM0021-21M(57SHD0021-21M).pdf</x:v>
      </x:c>
      <x:c r="D17" s="20" t="str">
        <x:v>문서 내부 불일치</x:v>
      </x:c>
      <x:c r="E17" s="20" t="str">
        <x:v>P1 Holding Torque 0.60 mN·m / P2 0.6 N·m</x:v>
      </x:c>
      <x:c r="F17" s="20" t="str">
        <x:v>P2 기준 입력, 제조사 확인 권장</x:v>
      </x:c>
    </x:row>
    <x:row r="18">
      <x:c r="A18" s="20" t="n">
        <x:v>15</x:v>
      </x:c>
      <x:c r="B18" s="20" t="str">
        <x:v>57SJM0025-25M</x:v>
      </x:c>
      <x:c r="C18" s="20" t="str">
        <x:v>57SJM0025-25M(57SHD0025-25M).pdf</x:v>
      </x:c>
      <x:c r="D18" s="20" t="str">
        <x:v>문서 내부 불일치</x:v>
      </x:c>
      <x:c r="E18" s="20" t="str">
        <x:v>P1 Holding Torque 0.60 mN·m / P2 0.6 N·m</x:v>
      </x:c>
      <x:c r="F18" s="20" t="str">
        <x:v>P2 기준 입력, 제조사 확인 권장</x:v>
      </x:c>
    </x:row>
    <x:row r="19">
      <x:c r="A19" s="20" t="n">
        <x:v>16</x:v>
      </x:c>
      <x:c r="B19" s="20" t="str">
        <x:v>57SJM4425-21B1</x:v>
      </x:c>
      <x:c r="C19" s="20" t="str">
        <x:v>57SJM4425-21B1(57SHD4425-21B1)(1).pdf</x:v>
      </x:c>
      <x:c r="D19" s="20" t="str">
        <x:v>모델명 불일치</x:v>
      </x:c>
      <x:c r="E19" s="20" t="str">
        <x:v>파일명 SJM / PDF Model Name 57SHD4425-21B1</x:v>
      </x:c>
      <x:c r="F19" s="20" t="str">
        <x:v>정식 모델명 확인</x:v>
      </x:c>
    </x:row>
    <x:row r="20">
      <x:c r="A20" s="20" t="n">
        <x:v>17</x:v>
      </x:c>
      <x:c r="B20" s="20" t="str">
        <x:v>57SJM4425-21B1</x:v>
      </x:c>
      <x:c r="C20" s="20" t="str">
        <x:v>57SJM4425-21B1(57SHD4425-21B1)(1).pdf</x:v>
      </x:c>
      <x:c r="D20" s="20" t="str">
        <x:v>사양 단위 재확인</x:v>
      </x:c>
      <x:c r="E20" s="20" t="str">
        <x:v>Holding torque 1.2 mN·m로 표기</x:v>
      </x:c>
      <x:c r="F20" s="20" t="str">
        <x:v>정식 사양서에서 단위 확인</x:v>
      </x:c>
    </x:row>
    <x:row r="21">
      <x:c r="A21" s="20" t="n">
        <x:v>18</x:v>
      </x:c>
      <x:c r="B21" s="20" t="str">
        <x:v>57SJM4425-21C</x:v>
      </x:c>
      <x:c r="C21" s="20" t="str">
        <x:v>57SJM4425-21C(57SHD4425-21C).pdf</x:v>
      </x:c>
      <x:c r="D21" s="20" t="str">
        <x:v>모델명 불일치</x:v>
      </x:c>
      <x:c r="E21" s="20" t="str">
        <x:v>파일명 SJM / PDF Model Name 57SHD4425-21C</x:v>
      </x:c>
      <x:c r="F21" s="20" t="str">
        <x:v>정식 모델명 확인</x:v>
      </x:c>
    </x:row>
    <x:row r="22">
      <x:c r="A22" s="20" t="n">
        <x:v>19</x:v>
      </x:c>
      <x:c r="B22" s="20" t="str">
        <x:v>57SJM4425-21C</x:v>
      </x:c>
      <x:c r="C22" s="20" t="str">
        <x:v>57SJM4425-21C(57SHD4425-21C).pdf</x:v>
      </x:c>
      <x:c r="D22" s="20" t="str">
        <x:v>사양 단위 재확인</x:v>
      </x:c>
      <x:c r="E22" s="20" t="str">
        <x:v>Holding torque 1.2 mN·m로 표기</x:v>
      </x:c>
      <x:c r="F22" s="20" t="str">
        <x:v>정식 사양서에서 단위 확인</x:v>
      </x:c>
    </x:row>
    <x:row r="23">
      <x:c r="A23" s="20" t="n">
        <x:v>20</x:v>
      </x:c>
      <x:c r="B23" s="20" t="str">
        <x:v>57SJM4801-20</x:v>
      </x:c>
      <x:c r="C23" s="20" t="str">
        <x:v>57SJM4801-20(57SHD4801-20).pdf</x:v>
      </x:c>
      <x:c r="D23" s="20" t="str">
        <x:v>사양 단위 재확인</x:v>
      </x:c>
      <x:c r="E23" s="20" t="str">
        <x:v>Holding torque 1.75 mN·m로 표기</x:v>
      </x:c>
      <x:c r="F23" s="20" t="str">
        <x:v>정식 사양서에서 단위 확인</x:v>
      </x:c>
    </x:row>
    <x:row r="24">
      <x:c r="A24" s="20" t="n">
        <x:v>21</x:v>
      </x:c>
      <x:c r="B24" s="20" t="str">
        <x:v>57SJM4801-20H</x:v>
      </x:c>
      <x:c r="C24" s="20" t="str">
        <x:v>57SJM4801-20H(57SHD4801-20H).pdf</x:v>
      </x:c>
      <x:c r="D24" s="20" t="str">
        <x:v>정보 누락</x:v>
      </x:c>
      <x:c r="E24" s="20" t="str">
        <x:v>Wire Length = 정보 없음</x:v>
      </x:c>
      <x:c r="F24" s="20" t="str">
        <x:v>실제품/정식 도면 확인</x:v>
      </x:c>
    </x:row>
    <x:row r="25">
      <x:c r="A25" s="20" t="n">
        <x:v>22</x:v>
      </x:c>
      <x:c r="B25" s="20" t="str">
        <x:v>60SJM4704-21B</x:v>
      </x:c>
      <x:c r="C25" s="20" t="str">
        <x:v>60SJM4704-21B(60SHD4704-21B).pdf</x:v>
      </x:c>
      <x:c r="D25" s="20" t="str">
        <x:v>원문 표기 오탈자 가능</x:v>
      </x:c>
      <x:c r="E25" s="20" t="str">
        <x:v>Resistance가 '0.93 hm'으로 표기</x:v>
      </x:c>
      <x:c r="F25" s="20" t="str">
        <x:v>정식 사양서에서 ohm 여부 확인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f6fa84df63a4c3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20" hidden="0" customWidth="1"/>
    <x:col min="6" max="6" width="20" hidden="0" customWidth="1"/>
  </x:cols>
  <x:sheetData>
    <x:row r="1">
      <x:c r="A1" s="138" t="str">
        <x:v>Motor Recommendation Dashboard - Data Readiness (67 Models)</x:v>
      </x:c>
      <x:c r="B1" s="138"/>
      <x:c r="C1" s="138"/>
      <x:c r="D1" s="138"/>
      <x:c r="E1" s="138"/>
      <x:c r="F1" s="138"/>
    </x:row>
    <x:row r="2">
      <x:c r="A2" s="105"/>
      <x:c r="B2" s="105"/>
      <x:c r="C2" s="105"/>
      <x:c r="D2" s="105"/>
      <x:c r="E2" s="105"/>
      <x:c r="F2" s="105"/>
    </x:row>
    <x:row r="3">
      <x:c r="A3" s="117" t="str">
        <x:v>항목</x:v>
      </x:c>
      <x:c r="B3" s="117" t="str">
        <x:v>확보 모델 수</x:v>
      </x:c>
      <x:c r="C3" s="117" t="str">
        <x:v>전체</x:v>
      </x:c>
      <x:c r="D3" s="117" t="str">
        <x:v>확보율</x:v>
      </x:c>
      <x:c r="E3" s="117" t="str">
        <x:v>추천엔진 중요도</x:v>
      </x:c>
      <x:c r="F3" s="117" t="str">
        <x:v>판정</x:v>
      </x:c>
    </x:row>
    <x:row r="4">
      <x:c r="A4" s="105" t="str">
        <x:v>Step Angle</x:v>
      </x:c>
      <x:c r="B4" s="105" t="n">
        <x:v>67</x:v>
      </x:c>
      <x:c r="C4" s="105" t="n">
        <x:v>67</x:v>
      </x:c>
      <x:c r="D4" s="118" t="n">
        <x:f>B4/C4</x:f>
        <x:v>1</x:v>
      </x:c>
      <x:c r="E4" s="105" t="str">
        <x:v>중</x:v>
      </x:c>
      <x:c r="F4" s="105" t="str">
        <x:v>충분</x:v>
      </x:c>
    </x:row>
    <x:row r="5">
      <x:c r="A5" s="105" t="str">
        <x:v>Frame Size</x:v>
      </x:c>
      <x:c r="B5" s="105" t="n">
        <x:v>67</x:v>
      </x:c>
      <x:c r="C5" s="105" t="n">
        <x:v>67</x:v>
      </x:c>
      <x:c r="D5" s="118" t="n">
        <x:f>B5/C5</x:f>
        <x:v>1</x:v>
      </x:c>
      <x:c r="E5" s="105" t="str">
        <x:v>중</x:v>
      </x:c>
      <x:c r="F5" s="105" t="str">
        <x:v>충분</x:v>
      </x:c>
    </x:row>
    <x:row r="6">
      <x:c r="A6" s="105" t="str">
        <x:v>Motor Length</x:v>
      </x:c>
      <x:c r="B6" s="105" t="n">
        <x:v>67</x:v>
      </x:c>
      <x:c r="C6" s="105" t="n">
        <x:v>67</x:v>
      </x:c>
      <x:c r="D6" s="118" t="n">
        <x:f>B6/C6</x:f>
        <x:v>1</x:v>
      </x:c>
      <x:c r="E6" s="105" t="str">
        <x:v>중</x:v>
      </x:c>
      <x:c r="F6" s="105" t="str">
        <x:v>충분</x:v>
      </x:c>
    </x:row>
    <x:row r="7">
      <x:c r="A7" s="105" t="str">
        <x:v>Rated Current</x:v>
      </x:c>
      <x:c r="B7" s="105" t="n">
        <x:v>67</x:v>
      </x:c>
      <x:c r="C7" s="105" t="n">
        <x:v>67</x:v>
      </x:c>
      <x:c r="D7" s="118" t="n">
        <x:f>B7/C7</x:f>
        <x:v>1</x:v>
      </x:c>
      <x:c r="E7" s="105" t="str">
        <x:v>중</x:v>
      </x:c>
      <x:c r="F7" s="105" t="str">
        <x:v>충분</x:v>
      </x:c>
    </x:row>
    <x:row r="8">
      <x:c r="A8" s="105" t="str">
        <x:v>Holding Torque</x:v>
      </x:c>
      <x:c r="B8" s="105" t="n">
        <x:v>67</x:v>
      </x:c>
      <x:c r="C8" s="105" t="n">
        <x:v>67</x:v>
      </x:c>
      <x:c r="D8" s="118" t="n">
        <x:f>B8/C8</x:f>
        <x:v>1</x:v>
      </x:c>
      <x:c r="E8" s="105" t="str">
        <x:v>상</x:v>
      </x:c>
      <x:c r="F8" s="105" t="str">
        <x:v>1차 필터 가능</x:v>
      </x:c>
    </x:row>
    <x:row r="9">
      <x:c r="A9" s="105" t="str">
        <x:v>Rotor Inertia</x:v>
      </x:c>
      <x:c r="B9" s="105" t="n">
        <x:v>67</x:v>
      </x:c>
      <x:c r="C9" s="105" t="n">
        <x:v>67</x:v>
      </x:c>
      <x:c r="D9" s="118" t="n">
        <x:f>B9/C9</x:f>
        <x:v>1</x:v>
      </x:c>
      <x:c r="E9" s="105" t="str">
        <x:v>상</x:v>
      </x:c>
      <x:c r="F9" s="105" t="str">
        <x:v>관성비 계산 가능</x:v>
      </x:c>
    </x:row>
    <x:row r="10">
      <x:c r="A10" s="105" t="str">
        <x:v>Resistance</x:v>
      </x:c>
      <x:c r="B10" s="105" t="n">
        <x:v>67</x:v>
      </x:c>
      <x:c r="C10" s="105" t="n">
        <x:v>67</x:v>
      </x:c>
      <x:c r="D10" s="118" t="n">
        <x:f>B10/C10</x:f>
        <x:v>1</x:v>
      </x:c>
      <x:c r="E10" s="105" t="str">
        <x:v>중</x:v>
      </x:c>
      <x:c r="F10" s="105" t="str">
        <x:v>충분</x:v>
      </x:c>
    </x:row>
    <x:row r="11">
      <x:c r="A11" s="105" t="str">
        <x:v>Inductance</x:v>
      </x:c>
      <x:c r="B11" s="105" t="n">
        <x:v>67</x:v>
      </x:c>
      <x:c r="C11" s="105" t="n">
        <x:v>67</x:v>
      </x:c>
      <x:c r="D11" s="118" t="n">
        <x:f>B11/C11</x:f>
        <x:v>1</x:v>
      </x:c>
      <x:c r="E11" s="105" t="str">
        <x:v>중</x:v>
      </x:c>
      <x:c r="F11" s="105" t="str">
        <x:v>충분</x:v>
      </x:c>
    </x:row>
    <x:row r="12">
      <x:c r="A12" s="105" t="str">
        <x:v>Rated Voltage</x:v>
      </x:c>
      <x:c r="B12" s="105" t="n">
        <x:v>1</x:v>
      </x:c>
      <x:c r="C12" s="105" t="n">
        <x:v>67</x:v>
      </x:c>
      <x:c r="D12" s="118" t="n">
        <x:f>B12/C12</x:f>
        <x:v>0.014925373134328358</x:v>
      </x:c>
      <x:c r="E12" s="105" t="str">
        <x:v>중</x:v>
      </x:c>
      <x:c r="F12" s="105" t="str">
        <x:v>부족</x:v>
      </x:c>
    </x:row>
    <x:row r="13">
      <x:c r="A13" s="105" t="str">
        <x:v>Torque-Speed Curve</x:v>
      </x:c>
      <x:c r="B13" s="105" t="n">
        <x:v>0</x:v>
      </x:c>
      <x:c r="C13" s="105" t="n">
        <x:v>67</x:v>
      </x:c>
      <x:c r="D13" s="118" t="n">
        <x:f>B13/C13</x:f>
        <x:v>0</x:v>
      </x:c>
      <x:c r="E13" s="105" t="str">
        <x:v>최상</x:v>
      </x:c>
      <x:c r="F13" s="105" t="str">
        <x:v>필수 추가</x:v>
      </x:c>
    </x:row>
    <x:row r="14">
      <x:c r="A14" s="105" t="str">
        <x:v>Operating / Max Speed</x:v>
      </x:c>
      <x:c r="B14" s="105" t="n">
        <x:v>0</x:v>
      </x:c>
      <x:c r="C14" s="105" t="n">
        <x:v>67</x:v>
      </x:c>
      <x:c r="D14" s="118" t="n">
        <x:f>B14/C14</x:f>
        <x:v>0</x:v>
      </x:c>
      <x:c r="E14" s="105" t="str">
        <x:v>상</x:v>
      </x:c>
      <x:c r="F14" s="105" t="str">
        <x:v>필수 추가</x:v>
      </x:c>
    </x:row>
    <x:row r="15">
      <x:c r="A15" s="105" t="str">
        <x:v>Driver Matching</x:v>
      </x:c>
      <x:c r="B15" s="105" t="n">
        <x:v>0</x:v>
      </x:c>
      <x:c r="C15" s="105" t="n">
        <x:v>67</x:v>
      </x:c>
      <x:c r="D15" s="118" t="n">
        <x:f>B15/C15</x:f>
        <x:v>0</x:v>
      </x:c>
      <x:c r="E15" s="105" t="str">
        <x:v>상</x:v>
      </x:c>
      <x:c r="F15" s="105" t="str">
        <x:v>필수 추가</x:v>
      </x:c>
    </x:row>
    <x:row r="16">
      <x:c r="A16" s="105"/>
      <x:c r="B16" s="105"/>
      <x:c r="C16" s="105"/>
      <x:c r="D16" s="105"/>
      <x:c r="E16" s="105"/>
      <x:c r="F16" s="105"/>
    </x:row>
    <x:row r="17">
      <x:c r="A17" s="105"/>
      <x:c r="B17" s="105"/>
      <x:c r="C17" s="105"/>
      <x:c r="D17" s="105"/>
      <x:c r="E17" s="105"/>
      <x:c r="F17" s="105"/>
    </x:row>
    <x:row r="18" ht="42" customHeight="1">
      <x:c r="A18" s="119" t="str">
        <x:v>현재 67개 PDF로 사양 검색·비교·1차 후보 필터는 가능하며, 56~57 mm 및 60 mm 계열이 크게 보강되었습니다. 동적 모터 선정 추천에는 Torque-Speed Curve, 운전/최대속도, Driver Matching 정보 추가 확보가 필요합니다.</x:v>
      </x:c>
      <x:c r="B18" s="119"/>
      <x:c r="C18" s="119"/>
      <x:c r="D18" s="119"/>
      <x:c r="E18" s="119"/>
      <x:c r="F18" s="119"/>
    </x:row>
  </x:sheetData>
  <x:mergeCells>
    <x:mergeCell ref="A1:F1"/>
    <x:mergeCell ref="A18:F18"/>
  </x:mergeCells>
  <x:conditionalFormatting sqref="D4:D15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{869AD515-ECA0-E564-603A-A01FA20B0EFA}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10f617b3b86f4c9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69AD515-ECA0-E564-603A-A01FA20B0EFA}">
            <x14:dataBar gradient="1">
              <x14:cfvo type="min"/>
              <x14:cfvo type="max"/>
              <x14:fillColor rgb="FF70AD47"/>
            </x14:dataBar>
          </x14:cfRule>
          <xm:sqref>D4:D15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2" hidden="0" customWidth="1"/>
    <x:col min="3" max="3" width="24" hidden="0" customWidth="1"/>
    <x:col min="4" max="4" width="24" hidden="0" customWidth="1"/>
    <x:col min="5" max="5" width="24" hidden="0" customWidth="1"/>
    <x:col min="6" max="6" width="12" hidden="0" customWidth="1"/>
  </x:cols>
  <x:sheetData>
    <x:row r="1">
      <x:c r="A1" s="124" t="str">
        <x:v>No</x:v>
      </x:c>
      <x:c r="B1" s="124" t="str">
        <x:v>원본 PDF</x:v>
      </x:c>
      <x:c r="C1" s="124" t="str">
        <x:v>주요 정보 페이지</x:v>
      </x:c>
      <x:c r="D1" s="124" t="str">
        <x:v>사양표</x:v>
      </x:c>
      <x:c r="E1" s="124" t="str">
        <x:v>치수/옵션</x:v>
      </x:c>
      <x:c r="F1" s="124" t="str">
        <x:v>Batch</x:v>
      </x:c>
    </x:row>
    <x:row r="2">
      <x:c r="A2" s="107" t="n">
        <x:v>1</x:v>
      </x:c>
      <x:c r="B2" s="107" t="str">
        <x:v>35SJM0803-24B(35SHD0803-24B).pdf</x:v>
      </x:c>
      <x:c r="C2" s="107" t="str">
        <x:v>P1 Product Information</x:v>
      </x:c>
      <x:c r="D2" s="107" t="str">
        <x:v>P2 Motor Specifications</x:v>
      </x:c>
      <x:c r="E2" s="107" t="str">
        <x:v>P3 Dimensions / Options</x:v>
      </x:c>
      <x:c r="F2" s="107" t="str">
        <x:v>Batch 1</x:v>
      </x:c>
    </x:row>
    <x:row r="3">
      <x:c r="A3" s="107" t="n">
        <x:v>2</x:v>
      </x:c>
      <x:c r="B3" s="107" t="str">
        <x:v>35SJM0806-20BV2(35SHD0806-20BV2).pdf</x:v>
      </x:c>
      <x:c r="C3" s="107" t="str">
        <x:v>P1 Product Information</x:v>
      </x:c>
      <x:c r="D3" s="107" t="str">
        <x:v>P2 Motor Specifications</x:v>
      </x:c>
      <x:c r="E3" s="107" t="str">
        <x:v>P3 Dimensions / Options</x:v>
      </x:c>
      <x:c r="F3" s="107" t="str">
        <x:v>Batch 1</x:v>
      </x:c>
    </x:row>
    <x:row r="4">
      <x:c r="A4" s="107" t="n">
        <x:v>3</x:v>
      </x:c>
      <x:c r="B4" s="107" t="str">
        <x:v>35SJM0810-24B(35SHD0810-24B).pdf</x:v>
      </x:c>
      <x:c r="C4" s="107" t="str">
        <x:v>P1 Product Information</x:v>
      </x:c>
      <x:c r="D4" s="107" t="str">
        <x:v>P2 Motor Specifications</x:v>
      </x:c>
      <x:c r="E4" s="107" t="str">
        <x:v>P3 Dimensions / Options</x:v>
      </x:c>
      <x:c r="F4" s="107" t="str">
        <x:v>Batch 1</x:v>
      </x:c>
    </x:row>
    <x:row r="5">
      <x:c r="A5" s="107" t="n">
        <x:v>4</x:v>
      </x:c>
      <x:c r="B5" s="107" t="str">
        <x:v>35SJM4001-20B(35SHD4001-20B).pdf</x:v>
      </x:c>
      <x:c r="C5" s="107" t="str">
        <x:v>P1 Product Information</x:v>
      </x:c>
      <x:c r="D5" s="107" t="str">
        <x:v>P2 Motor Specifications</x:v>
      </x:c>
      <x:c r="E5" s="107" t="str">
        <x:v>P3 Dimensions / Options</x:v>
      </x:c>
      <x:c r="F5" s="107" t="str">
        <x:v>Batch 1</x:v>
      </x:c>
    </x:row>
    <x:row r="6">
      <x:c r="A6" s="107" t="n">
        <x:v>5</x:v>
      </x:c>
      <x:c r="B6" s="107" t="str">
        <x:v>14SJM4001-15B(14SHD4001-15B).pdf</x:v>
      </x:c>
      <x:c r="C6" s="107" t="str">
        <x:v>P1 Product Information</x:v>
      </x:c>
      <x:c r="D6" s="107" t="str">
        <x:v>P2 Motor Specifications</x:v>
      </x:c>
      <x:c r="E6" s="107" t="str">
        <x:v>P3 Dimensions / Options</x:v>
      </x:c>
      <x:c r="F6" s="107" t="str">
        <x:v>Batch 1</x:v>
      </x:c>
    </x:row>
    <x:row r="7">
      <x:c r="A7" s="107" t="n">
        <x:v>6</x:v>
      </x:c>
      <x:c r="B7" s="107" t="str">
        <x:v>20SHD0014-10B.pdf</x:v>
      </x:c>
      <x:c r="C7" s="107" t="str">
        <x:v>P1 Product Information</x:v>
      </x:c>
      <x:c r="D7" s="107" t="str">
        <x:v>P2 Motor Specifications</x:v>
      </x:c>
      <x:c r="E7" s="107" t="str">
        <x:v>P3 Dimensions / Options</x:v>
      </x:c>
      <x:c r="F7" s="107" t="str">
        <x:v>Batch 1</x:v>
      </x:c>
    </x:row>
    <x:row r="8">
      <x:c r="A8" s="107" t="n">
        <x:v>7</x:v>
      </x:c>
      <x:c r="B8" s="107" t="str">
        <x:v>20SJM0001-20(20SHD0001-20).pdf</x:v>
      </x:c>
      <x:c r="C8" s="107" t="str">
        <x:v>P1 Product Information</x:v>
      </x:c>
      <x:c r="D8" s="107" t="str">
        <x:v>P2 Motor Specifications</x:v>
      </x:c>
      <x:c r="E8" s="107" t="str">
        <x:v>P3 Dimensions / Options</x:v>
      </x:c>
      <x:c r="F8" s="107" t="str">
        <x:v>Batch 1</x:v>
      </x:c>
    </x:row>
    <x:row r="9">
      <x:c r="A9" s="107" t="n">
        <x:v>8</x:v>
      </x:c>
      <x:c r="B9" s="107" t="str">
        <x:v>20SJM0003-20(20SHD0003-20).pdf</x:v>
      </x:c>
      <x:c r="C9" s="107" t="str">
        <x:v>P1 Product Information</x:v>
      </x:c>
      <x:c r="D9" s="107" t="str">
        <x:v>P2 Motor Specifications</x:v>
      </x:c>
      <x:c r="E9" s="107" t="str">
        <x:v>P3 Dimensions / Options</x:v>
      </x:c>
      <x:c r="F9" s="107" t="str">
        <x:v>Batch 1</x:v>
      </x:c>
    </x:row>
    <x:row r="10">
      <x:c r="A10" s="107" t="n">
        <x:v>9</x:v>
      </x:c>
      <x:c r="B10" s="107" t="str">
        <x:v>20SJM0250-20(20SHD0250-20).pdf</x:v>
      </x:c>
      <x:c r="C10" s="107" t="str">
        <x:v>P1 Product Information</x:v>
      </x:c>
      <x:c r="D10" s="107" t="str">
        <x:v>P2 Motor Specifications</x:v>
      </x:c>
      <x:c r="E10" s="107" t="str">
        <x:v>P3 Dimensions / Options</x:v>
      </x:c>
      <x:c r="F10" s="107" t="str">
        <x:v>Batch 1</x:v>
      </x:c>
    </x:row>
    <x:row r="11">
      <x:c r="A11" s="107" t="n">
        <x:v>10</x:v>
      </x:c>
      <x:c r="B11" s="107" t="str">
        <x:v>20SJM0255-15B2(20SHD0255-15B2).pdf</x:v>
      </x:c>
      <x:c r="C11" s="107" t="str">
        <x:v>P1 Product Information</x:v>
      </x:c>
      <x:c r="D11" s="107" t="str">
        <x:v>P2 Motor Specifications</x:v>
      </x:c>
      <x:c r="E11" s="107" t="str">
        <x:v>P3 Dimensions / Options</x:v>
      </x:c>
      <x:c r="F11" s="107" t="str">
        <x:v>Batch 1</x:v>
      </x:c>
    </x:row>
    <x:row r="12">
      <x:c r="A12" s="107" t="n">
        <x:v>11</x:v>
      </x:c>
      <x:c r="B12" s="107" t="str">
        <x:v>20SJM0301-5(20SHD0301-5).pdf</x:v>
      </x:c>
      <x:c r="C12" s="107" t="str">
        <x:v>P1 Product Information</x:v>
      </x:c>
      <x:c r="D12" s="107" t="str">
        <x:v>P2 Motor Specifications</x:v>
      </x:c>
      <x:c r="E12" s="107" t="str">
        <x:v>P3 Dimensions / Options</x:v>
      </x:c>
      <x:c r="F12" s="107" t="str">
        <x:v>Batch 1</x:v>
      </x:c>
    </x:row>
    <x:row r="13">
      <x:c r="A13" s="107" t="n">
        <x:v>12</x:v>
      </x:c>
      <x:c r="B13" s="107" t="str">
        <x:v>20SJM4502-19B.pdf</x:v>
      </x:c>
      <x:c r="C13" s="107" t="str">
        <x:v>P1 Product Information</x:v>
      </x:c>
      <x:c r="D13" s="107" t="str">
        <x:v>P2 Motor Specifications</x:v>
      </x:c>
      <x:c r="E13" s="107" t="str">
        <x:v>P3 Dimensions / Options</x:v>
      </x:c>
      <x:c r="F13" s="107" t="str">
        <x:v>Batch 1</x:v>
      </x:c>
    </x:row>
    <x:row r="14">
      <x:c r="A14" s="107" t="n">
        <x:v>13</x:v>
      </x:c>
      <x:c r="B14" s="107" t="str">
        <x:v>28SJM0405-15B(28SHD0405-15B).pdf</x:v>
      </x:c>
      <x:c r="C14" s="107" t="str">
        <x:v>P1 Product Information</x:v>
      </x:c>
      <x:c r="D14" s="107" t="str">
        <x:v>P2 Motor Specifications</x:v>
      </x:c>
      <x:c r="E14" s="107" t="str">
        <x:v>P3 Dimensions / Options</x:v>
      </x:c>
      <x:c r="F14" s="107" t="str">
        <x:v>Batch 1</x:v>
      </x:c>
    </x:row>
    <x:row r="15">
      <x:c r="A15" s="107" t="n">
        <x:v>14</x:v>
      </x:c>
      <x:c r="B15" s="107" t="str">
        <x:v>28SJM4201-15P(28SHD4201-15P).pdf</x:v>
      </x:c>
      <x:c r="C15" s="107" t="str">
        <x:v>P1 Product Information</x:v>
      </x:c>
      <x:c r="D15" s="107" t="str">
        <x:v>P2 Motor Specifications</x:v>
      </x:c>
      <x:c r="E15" s="107" t="str">
        <x:v>P3 Dimensions / Options</x:v>
      </x:c>
      <x:c r="F15" s="107" t="str">
        <x:v>Batch 1</x:v>
      </x:c>
    </x:row>
    <x:row r="16">
      <x:c r="A16" s="107" t="n">
        <x:v>15</x:v>
      </x:c>
      <x:c r="B16" s="107" t="str">
        <x:v>28SJM4202-20L(28SHD4202-20L).pdf</x:v>
      </x:c>
      <x:c r="C16" s="107" t="str">
        <x:v>P1 Product Information</x:v>
      </x:c>
      <x:c r="D16" s="107" t="str">
        <x:v>P2 Motor Specifications</x:v>
      </x:c>
      <x:c r="E16" s="107" t="str">
        <x:v>P3 Dimensions / Options</x:v>
      </x:c>
      <x:c r="F16" s="107" t="str">
        <x:v>Batch 1</x:v>
      </x:c>
    </x:row>
    <x:row r="17">
      <x:c r="A17" s="107" t="n">
        <x:v>16</x:v>
      </x:c>
      <x:c r="B17" s="107" t="str">
        <x:v>28SJM4207-20(28SHD4207-20).pdf</x:v>
      </x:c>
      <x:c r="C17" s="107" t="str">
        <x:v>P1 Product Information</x:v>
      </x:c>
      <x:c r="D17" s="107" t="str">
        <x:v>P2 Motor Specifications</x:v>
      </x:c>
      <x:c r="E17" s="107" t="str">
        <x:v>P3 Dimensions / Options</x:v>
      </x:c>
      <x:c r="F17" s="107" t="str">
        <x:v>Batch 1</x:v>
      </x:c>
    </x:row>
    <x:row r="18">
      <x:c r="A18" s="107" t="n">
        <x:v>17</x:v>
      </x:c>
      <x:c r="B18" s="107" t="str">
        <x:v>28SJM4217-15B(28SHD4217-15B).pdf</x:v>
      </x:c>
      <x:c r="C18" s="107" t="str">
        <x:v>P1 Product Information</x:v>
      </x:c>
      <x:c r="D18" s="107" t="str">
        <x:v>P2 Motor Specifications</x:v>
      </x:c>
      <x:c r="E18" s="107" t="str">
        <x:v>P3 Dimensions / Options</x:v>
      </x:c>
      <x:c r="F18" s="107" t="str">
        <x:v>Batch 1</x:v>
      </x:c>
    </x:row>
    <x:row r="19">
      <x:c r="A19" s="107" t="n">
        <x:v>18</x:v>
      </x:c>
      <x:c r="B19" s="107" t="str">
        <x:v>28SJM4218-15P(28SHD4218-15P).pdf</x:v>
      </x:c>
      <x:c r="C19" s="107" t="str">
        <x:v>P1 Product Information</x:v>
      </x:c>
      <x:c r="D19" s="107" t="str">
        <x:v>P2 Motor Specifications</x:v>
      </x:c>
      <x:c r="E19" s="107" t="str">
        <x:v>P3 Dimensions / Options</x:v>
      </x:c>
      <x:c r="F19" s="107" t="str">
        <x:v>Batch 1</x:v>
      </x:c>
    </x:row>
    <x:row r="20">
      <x:c r="A20" s="107" t="n">
        <x:v>19</x:v>
      </x:c>
      <x:c r="B20" s="107" t="str">
        <x:v>35SJM0003-30(35SHD0003-30).pdf</x:v>
      </x:c>
      <x:c r="C20" s="107" t="str">
        <x:v>P1 Product Information</x:v>
      </x:c>
      <x:c r="D20" s="107" t="str">
        <x:v>P2 Motor Specifications</x:v>
      </x:c>
      <x:c r="E20" s="107" t="str">
        <x:v>P3 Dimensions / Options</x:v>
      </x:c>
      <x:c r="F20" s="107" t="str">
        <x:v>Batch 1</x:v>
      </x:c>
    </x:row>
    <x:row r="21">
      <x:c r="A21" s="107" t="n">
        <x:v>20</x:v>
      </x:c>
      <x:c r="B21" s="107" t="str">
        <x:v>35SJM0801-30B(35SHD0801-30B).pdf</x:v>
      </x:c>
      <x:c r="C21" s="107" t="str">
        <x:v>P1 Product Information</x:v>
      </x:c>
      <x:c r="D21" s="107" t="str">
        <x:v>P2 Motor Specifications</x:v>
      </x:c>
      <x:c r="E21" s="107" t="str">
        <x:v>P3 Dimensions / Options</x:v>
      </x:c>
      <x:c r="F21" s="107" t="str">
        <x:v>Batch 1</x:v>
      </x:c>
    </x:row>
    <x:row r="22">
      <x:c r="A22" s="107" t="n">
        <x:v>21</x:v>
      </x:c>
      <x:c r="B22" s="107" t="str">
        <x:v>42SJM0423-22B(42SHD0423-22B).pdf</x:v>
      </x:c>
      <x:c r="C22" s="107" t="str">
        <x:v>P1 Product Information</x:v>
      </x:c>
      <x:c r="D22" s="107" t="str">
        <x:v>P2 Motor Specifications</x:v>
      </x:c>
      <x:c r="E22" s="107" t="str">
        <x:v>P3 Dimensions / Options</x:v>
      </x:c>
      <x:c r="F22" s="107" t="str">
        <x:v>Batch 2</x:v>
      </x:c>
    </x:row>
    <x:row r="23">
      <x:c r="A23" s="107" t="n">
        <x:v>22</x:v>
      </x:c>
      <x:c r="B23" s="107" t="str">
        <x:v>42SJM0425-24B(42SHD0425-24B).pdf</x:v>
      </x:c>
      <x:c r="C23" s="107" t="str">
        <x:v>P1 Product Information</x:v>
      </x:c>
      <x:c r="D23" s="107" t="str">
        <x:v>P2 Motor Specifications</x:v>
      </x:c>
      <x:c r="E23" s="107" t="str">
        <x:v>P3 Dimensions / Options</x:v>
      </x:c>
      <x:c r="F23" s="107" t="str">
        <x:v>Batch 2</x:v>
      </x:c>
    </x:row>
    <x:row r="24">
      <x:c r="A24" s="107" t="n">
        <x:v>23</x:v>
      </x:c>
      <x:c r="B24" s="107" t="str">
        <x:v>35SJM4021-20(35SHD4021-20).pdf</x:v>
      </x:c>
      <x:c r="C24" s="107" t="str">
        <x:v>P1 Product Information</x:v>
      </x:c>
      <x:c r="D24" s="107" t="str">
        <x:v>P2 Motor Specifications</x:v>
      </x:c>
      <x:c r="E24" s="107" t="str">
        <x:v>P3 Dimensions / Options</x:v>
      </x:c>
      <x:c r="F24" s="107" t="str">
        <x:v>Batch 2</x:v>
      </x:c>
    </x:row>
    <x:row r="25">
      <x:c r="A25" s="107" t="n">
        <x:v>24</x:v>
      </x:c>
      <x:c r="B25" s="107" t="str">
        <x:v>35SJM4103-10B(35SHD4103-10B).pdf</x:v>
      </x:c>
      <x:c r="C25" s="107" t="str">
        <x:v>P1 Product Information</x:v>
      </x:c>
      <x:c r="D25" s="107" t="str">
        <x:v>P2 Motor Specifications</x:v>
      </x:c>
      <x:c r="E25" s="107" t="str">
        <x:v>P3 Dimensions / Options</x:v>
      </x:c>
      <x:c r="F25" s="107" t="str">
        <x:v>Batch 2</x:v>
      </x:c>
    </x:row>
    <x:row r="26">
      <x:c r="A26" s="107" t="n">
        <x:v>25</x:v>
      </x:c>
      <x:c r="B26" s="107" t="str">
        <x:v>39SJM4101-10(39SHD4101-10).pdf</x:v>
      </x:c>
      <x:c r="C26" s="107" t="str">
        <x:v>P1 Product Information</x:v>
      </x:c>
      <x:c r="D26" s="107" t="str">
        <x:v>P2 Motor Specifications</x:v>
      </x:c>
      <x:c r="E26" s="107" t="str">
        <x:v>P3 Dimensions / Options</x:v>
      </x:c>
      <x:c r="F26" s="107" t="str">
        <x:v>Batch 2</x:v>
      </x:c>
    </x:row>
    <x:row r="27">
      <x:c r="A27" s="107" t="n">
        <x:v>26</x:v>
      </x:c>
      <x:c r="B27" s="107" t="str">
        <x:v>39SJM4301-20(39SHD4301-20).pdf</x:v>
      </x:c>
      <x:c r="C27" s="107" t="str">
        <x:v>P1 Product Information</x:v>
      </x:c>
      <x:c r="D27" s="107" t="str">
        <x:v>P2 Motor Specifications</x:v>
      </x:c>
      <x:c r="E27" s="107" t="str">
        <x:v>P3 Dimensions / Options</x:v>
      </x:c>
      <x:c r="F27" s="107" t="str">
        <x:v>Batch 2</x:v>
      </x:c>
    </x:row>
    <x:row r="28">
      <x:c r="A28" s="107" t="n">
        <x:v>27</x:v>
      </x:c>
      <x:c r="B28" s="107" t="str">
        <x:v>39SJM4302-22(39SHD4302-22).pdf</x:v>
      </x:c>
      <x:c r="C28" s="107" t="str">
        <x:v>P1 Product Information</x:v>
      </x:c>
      <x:c r="D28" s="107" t="str">
        <x:v>P2 Motor Specifications</x:v>
      </x:c>
      <x:c r="E28" s="107" t="str">
        <x:v>P3 Dimensions / Options</x:v>
      </x:c>
      <x:c r="F28" s="107" t="str">
        <x:v>Batch 2</x:v>
      </x:c>
    </x:row>
    <x:row r="29">
      <x:c r="A29" s="107" t="n">
        <x:v>28</x:v>
      </x:c>
      <x:c r="B29" s="107" t="str">
        <x:v>39SJM4314-18A(39SHD4314-18A).pdf</x:v>
      </x:c>
      <x:c r="C29" s="107" t="str">
        <x:v>P1 Product Information</x:v>
      </x:c>
      <x:c r="D29" s="107" t="str">
        <x:v>P2 Motor Specifications</x:v>
      </x:c>
      <x:c r="E29" s="107" t="str">
        <x:v>P3 Dimensions / Options</x:v>
      </x:c>
      <x:c r="F29" s="107" t="str">
        <x:v>Batch 2</x:v>
      </x:c>
    </x:row>
    <x:row r="30">
      <x:c r="A30" s="107" t="n">
        <x:v>29</x:v>
      </x:c>
      <x:c r="B30" s="107" t="str">
        <x:v>39SJM4317-11(39SHD4317-11).pdf</x:v>
      </x:c>
      <x:c r="C30" s="107" t="str">
        <x:v>P1 Product Information</x:v>
      </x:c>
      <x:c r="D30" s="107" t="str">
        <x:v>P2 Motor Specifications</x:v>
      </x:c>
      <x:c r="E30" s="107" t="str">
        <x:v>P3 Dimensions / Options</x:v>
      </x:c>
      <x:c r="F30" s="107" t="str">
        <x:v>Batch 2</x:v>
      </x:c>
    </x:row>
    <x:row r="31">
      <x:c r="A31" s="107" t="n">
        <x:v>30</x:v>
      </x:c>
      <x:c r="B31" s="107" t="str">
        <x:v>39SJM4504-20(39SHD4504-20).pdf</x:v>
      </x:c>
      <x:c r="C31" s="107" t="str">
        <x:v>P1 Product Information</x:v>
      </x:c>
      <x:c r="D31" s="107" t="str">
        <x:v>P2 Motor Specifications</x:v>
      </x:c>
      <x:c r="E31" s="107" t="str">
        <x:v>P3 Dimensions / Options</x:v>
      </x:c>
      <x:c r="F31" s="107" t="str">
        <x:v>Batch 2</x:v>
      </x:c>
    </x:row>
    <x:row r="32">
      <x:c r="A32" s="107" t="n">
        <x:v>31</x:v>
      </x:c>
      <x:c r="B32" s="107" t="str">
        <x:v>42SHB0509-24BH(42SHB0509-24BH).pdf</x:v>
      </x:c>
      <x:c r="C32" s="107" t="str">
        <x:v>P1 Product Information</x:v>
      </x:c>
      <x:c r="D32" s="107" t="str">
        <x:v>P2 Motor Specifications</x:v>
      </x:c>
      <x:c r="E32" s="107" t="str">
        <x:v>P3 Dimensions / Options</x:v>
      </x:c>
      <x:c r="F32" s="107" t="str">
        <x:v>Batch 2</x:v>
      </x:c>
    </x:row>
    <x:row r="33">
      <x:c r="A33" s="107" t="n">
        <x:v>32</x:v>
      </x:c>
      <x:c r="B33" s="107" t="str">
        <x:v>42SHB4002-17H(42SHB4002-17H).pdf</x:v>
      </x:c>
      <x:c r="C33" s="107" t="str">
        <x:v>P1 Product Information</x:v>
      </x:c>
      <x:c r="D33" s="107" t="str">
        <x:v>P2 Motor Specifications</x:v>
      </x:c>
      <x:c r="E33" s="107" t="str">
        <x:v>P3 Dimensions / Options</x:v>
      </x:c>
      <x:c r="F33" s="107" t="str">
        <x:v>Batch 2</x:v>
      </x:c>
    </x:row>
    <x:row r="34">
      <x:c r="A34" s="107" t="n">
        <x:v>33</x:v>
      </x:c>
      <x:c r="B34" s="107" t="str">
        <x:v>42SHF3202-22L1(42SHF3202-22L1).pdf</x:v>
      </x:c>
      <x:c r="C34" s="107" t="str">
        <x:v>P1 Product Information</x:v>
      </x:c>
      <x:c r="D34" s="107" t="str">
        <x:v>P2 Motor Specifications</x:v>
      </x:c>
      <x:c r="E34" s="107" t="str">
        <x:v>P3 Dimensions / Options</x:v>
      </x:c>
      <x:c r="F34" s="107" t="str">
        <x:v>Batch 2</x:v>
      </x:c>
    </x:row>
    <x:row r="35">
      <x:c r="A35" s="107" t="n">
        <x:v>34</x:v>
      </x:c>
      <x:c r="B35" s="107" t="str">
        <x:v>42SJM0001-24(42SHD0001-24).pdf</x:v>
      </x:c>
      <x:c r="C35" s="107" t="str">
        <x:v>P1 Product Information</x:v>
      </x:c>
      <x:c r="D35" s="107" t="str">
        <x:v>P2 Motor Specifications</x:v>
      </x:c>
      <x:c r="E35" s="107" t="str">
        <x:v>P3 Dimensions / Options</x:v>
      </x:c>
      <x:c r="F35" s="107" t="str">
        <x:v>Batch 2</x:v>
      </x:c>
    </x:row>
    <x:row r="36">
      <x:c r="A36" s="107" t="n">
        <x:v>35</x:v>
      </x:c>
      <x:c r="B36" s="107" t="str">
        <x:v>42SJM0287-24B(42SHD0287-24B).pdf</x:v>
      </x:c>
      <x:c r="C36" s="107" t="str">
        <x:v>P1 Product Information</x:v>
      </x:c>
      <x:c r="D36" s="107" t="str">
        <x:v>P2 Motor Specifications</x:v>
      </x:c>
      <x:c r="E36" s="107" t="str">
        <x:v>P3 Dimensions / Options</x:v>
      </x:c>
      <x:c r="F36" s="107" t="str">
        <x:v>Batch 2</x:v>
      </x:c>
    </x:row>
    <x:row r="37">
      <x:c r="A37" s="107" t="n">
        <x:v>36</x:v>
      </x:c>
      <x:c r="B37" s="107" t="str">
        <x:v>42SJM0287-24BH(42SHD0287-24BH).pdf</x:v>
      </x:c>
      <x:c r="C37" s="107" t="str">
        <x:v>P1 Product Information</x:v>
      </x:c>
      <x:c r="D37" s="107" t="str">
        <x:v>P2 Motor Specifications</x:v>
      </x:c>
      <x:c r="E37" s="107" t="str">
        <x:v>P3 Dimensions / Options</x:v>
      </x:c>
      <x:c r="F37" s="107" t="str">
        <x:v>Batch 2</x:v>
      </x:c>
    </x:row>
    <x:row r="38">
      <x:c r="A38" s="107" t="n">
        <x:v>37</x:v>
      </x:c>
      <x:c r="B38" s="107" t="str">
        <x:v>42SJM0404-22(42SHD0404-22).pdf</x:v>
      </x:c>
      <x:c r="C38" s="107" t="str">
        <x:v>P1 Product Information</x:v>
      </x:c>
      <x:c r="D38" s="107" t="str">
        <x:v>P2 Motor Specifications</x:v>
      </x:c>
      <x:c r="E38" s="107" t="str">
        <x:v>P3 Dimensions / Options</x:v>
      </x:c>
      <x:c r="F38" s="107" t="str">
        <x:v>Batch 2</x:v>
      </x:c>
    </x:row>
    <x:row r="39">
      <x:c r="A39" s="107" t="n">
        <x:v>38</x:v>
      </x:c>
      <x:c r="B39" s="107" t="str">
        <x:v>42SJM0407-24B(42SHD0407-24B).pdf</x:v>
      </x:c>
      <x:c r="C39" s="107" t="str">
        <x:v>P1 Product Information</x:v>
      </x:c>
      <x:c r="D39" s="107" t="str">
        <x:v>P2 Motor Specifications</x:v>
      </x:c>
      <x:c r="E39" s="107" t="str">
        <x:v>P3 Dimensions / Options</x:v>
      </x:c>
      <x:c r="F39" s="107" t="str">
        <x:v>Batch 2</x:v>
      </x:c>
    </x:row>
    <x:row r="40">
      <x:c r="A40" s="107" t="n">
        <x:v>39</x:v>
      </x:c>
      <x:c r="B40" s="107" t="str">
        <x:v>42SJM0409-17B(42SHD0409-17B).pdf</x:v>
      </x:c>
      <x:c r="C40" s="107" t="str">
        <x:v>P1 Product Information</x:v>
      </x:c>
      <x:c r="D40" s="107" t="str">
        <x:v>P2 Motor Specifications</x:v>
      </x:c>
      <x:c r="E40" s="107" t="str">
        <x:v>P3 Dimensions / Options</x:v>
      </x:c>
      <x:c r="F40" s="107" t="str">
        <x:v>Batch 2</x:v>
      </x:c>
    </x:row>
    <x:row r="41">
      <x:c r="A41" s="107" t="n">
        <x:v>40</x:v>
      </x:c>
      <x:c r="B41" s="107" t="str">
        <x:v>42SJM0411-24B2H(42SHD0411-24B2H).pdf</x:v>
      </x:c>
      <x:c r="C41" s="107" t="str">
        <x:v>P1 Product Information</x:v>
      </x:c>
      <x:c r="D41" s="107" t="str">
        <x:v>P2 Motor Specifications</x:v>
      </x:c>
      <x:c r="E41" s="107" t="str">
        <x:v>P3 Dimensions / Options</x:v>
      </x:c>
      <x:c r="F41" s="107" t="str">
        <x:v>Batch 2</x:v>
      </x:c>
    </x:row>
    <x:row r="42">
      <x:c r="A42" s="20" t="n">
        <x:v>41</x:v>
      </x:c>
      <x:c r="B42" s="20" t="str">
        <x:v>86SJM4508-34H(86SHD4508-34H).pdf</x:v>
      </x:c>
      <x:c r="C42" s="20" t="str">
        <x:v>P1 Product Information</x:v>
      </x:c>
      <x:c r="D42" s="20" t="str">
        <x:v>P2 Motor Specifications</x:v>
      </x:c>
      <x:c r="E42" s="20" t="str">
        <x:v>P3 Dimensions / Options</x:v>
      </x:c>
      <x:c r="F42" s="20" t="str">
        <x:v>Batch 3</x:v>
      </x:c>
    </x:row>
    <x:row r="43">
      <x:c r="A43" s="20" t="n">
        <x:v>42</x:v>
      </x:c>
      <x:c r="B43" s="20" t="str">
        <x:v>P35SJM0111-28(P35SHD0111-28).pdf</x:v>
      </x:c>
      <x:c r="C43" s="20" t="str">
        <x:v>P1 Product Information</x:v>
      </x:c>
      <x:c r="D43" s="20" t="str">
        <x:v>P2 Motor Specifications</x:v>
      </x:c>
      <x:c r="E43" s="20" t="str">
        <x:v>P3 Dimensions / Options</x:v>
      </x:c>
      <x:c r="F43" s="20" t="str">
        <x:v>Batch 3</x:v>
      </x:c>
    </x:row>
    <x:row r="44">
      <x:c r="A44" s="20" t="n">
        <x:v>43</x:v>
      </x:c>
      <x:c r="B44" s="20" t="str">
        <x:v>P35SJM0184-24B(P35SHD0184-24B).pdf</x:v>
      </x:c>
      <x:c r="C44" s="20" t="str">
        <x:v>P1 Product Information</x:v>
      </x:c>
      <x:c r="D44" s="20" t="str">
        <x:v>P2 Motor Specifications</x:v>
      </x:c>
      <x:c r="E44" s="20" t="str">
        <x:v>P3 Dimensions / Options</x:v>
      </x:c>
      <x:c r="F44" s="20" t="str">
        <x:v>Batch 3</x:v>
      </x:c>
    </x:row>
    <x:row r="45">
      <x:c r="A45" s="20" t="n">
        <x:v>44</x:v>
      </x:c>
      <x:c r="B45" s="20" t="str">
        <x:v>P35SJM0303-15H(P35SHD0303-15H).pdf</x:v>
      </x:c>
      <x:c r="C45" s="20" t="str">
        <x:v>P1 Product Information</x:v>
      </x:c>
      <x:c r="D45" s="20" t="str">
        <x:v>P2 Motor Specifications</x:v>
      </x:c>
      <x:c r="E45" s="20" t="str">
        <x:v>P3 Dimensions / Options</x:v>
      </x:c>
      <x:c r="F45" s="20" t="str">
        <x:v>Batch 3</x:v>
      </x:c>
    </x:row>
    <x:row r="46">
      <x:c r="A46" s="20" t="n">
        <x:v>45</x:v>
      </x:c>
      <x:c r="B46" s="20" t="str">
        <x:v>P35SJM0807-24B(P35SHD0807-24B).pdf</x:v>
      </x:c>
      <x:c r="C46" s="20" t="str">
        <x:v>P1 Product Information</x:v>
      </x:c>
      <x:c r="D46" s="20" t="str">
        <x:v>P2 Motor Specifications</x:v>
      </x:c>
      <x:c r="E46" s="20" t="str">
        <x:v>P3 Dimensions / Options</x:v>
      </x:c>
      <x:c r="F46" s="20" t="str">
        <x:v>Batch 3</x:v>
      </x:c>
    </x:row>
    <x:row r="47">
      <x:c r="A47" s="20" t="n">
        <x:v>46</x:v>
      </x:c>
      <x:c r="B47" s="20" t="str">
        <x:v>P35SJM0808-20B(P35SHD0808-20B).pdf</x:v>
      </x:c>
      <x:c r="C47" s="20" t="str">
        <x:v>P1 Product Information</x:v>
      </x:c>
      <x:c r="D47" s="20" t="str">
        <x:v>P2 Motor Specifications</x:v>
      </x:c>
      <x:c r="E47" s="20" t="str">
        <x:v>P3 Dimensions / Options</x:v>
      </x:c>
      <x:c r="F47" s="20" t="str">
        <x:v>Batch 3</x:v>
      </x:c>
    </x:row>
    <x:row r="48">
      <x:c r="A48" s="20" t="n">
        <x:v>47</x:v>
      </x:c>
      <x:c r="B48" s="20" t="str">
        <x:v>60SJM6705-21B(60SHD6705-21B).pdf</x:v>
      </x:c>
      <x:c r="C48" s="20" t="str">
        <x:v>P1 Product Information</x:v>
      </x:c>
      <x:c r="D48" s="20" t="str">
        <x:v>P2 Motor Specifications</x:v>
      </x:c>
      <x:c r="E48" s="20" t="str">
        <x:v>P3 Dimensions / Options</x:v>
      </x:c>
      <x:c r="F48" s="20" t="str">
        <x:v>Batch 3</x:v>
      </x:c>
    </x:row>
    <x:row r="49">
      <x:c r="A49" s="20" t="n">
        <x:v>48</x:v>
      </x:c>
      <x:c r="B49" s="20" t="str">
        <x:v>86SJM4201-37B(86SHD4201-37B).pdf</x:v>
      </x:c>
      <x:c r="C49" s="20" t="str">
        <x:v>P1 Product Information</x:v>
      </x:c>
      <x:c r="D49" s="20" t="str">
        <x:v>P2 Motor Specifications</x:v>
      </x:c>
      <x:c r="E49" s="20" t="str">
        <x:v>P3 Dimensions / Options</x:v>
      </x:c>
      <x:c r="F49" s="20" t="str">
        <x:v>Batch 3</x:v>
      </x:c>
    </x:row>
    <x:row r="50">
      <x:c r="A50" s="20" t="n">
        <x:v>49</x:v>
      </x:c>
      <x:c r="B50" s="20" t="str">
        <x:v>57SJM4974-21BH(57SHD4974-21BH)(1).pdf</x:v>
      </x:c>
      <x:c r="C50" s="20" t="str">
        <x:v>P1 Product Information</x:v>
      </x:c>
      <x:c r="D50" s="20" t="str">
        <x:v>P2 Motor Specifications</x:v>
      </x:c>
      <x:c r="E50" s="20" t="str">
        <x:v>P3 Dimensions / Options</x:v>
      </x:c>
      <x:c r="F50" s="20" t="str">
        <x:v>Batch 4</x:v>
      </x:c>
    </x:row>
    <x:row r="51">
      <x:c r="A51" s="20" t="n">
        <x:v>50</x:v>
      </x:c>
      <x:c r="B51" s="20" t="str">
        <x:v>60SJM4703-21B(60SHD4703-21B)(1).pdf</x:v>
      </x:c>
      <x:c r="C51" s="20" t="str">
        <x:v>P1 Product Information</x:v>
      </x:c>
      <x:c r="D51" s="20" t="str">
        <x:v>P2 Motor Specifications</x:v>
      </x:c>
      <x:c r="E51" s="20" t="str">
        <x:v>P3 Dimensions / Options</x:v>
      </x:c>
      <x:c r="F51" s="20" t="str">
        <x:v>Batch 4</x:v>
      </x:c>
    </x:row>
    <x:row r="52">
      <x:c r="A52" s="20" t="n">
        <x:v>51</x:v>
      </x:c>
      <x:c r="B52" s="20" t="str">
        <x:v>60SJM4704-21B(60SHD4704-21B).pdf</x:v>
      </x:c>
      <x:c r="C52" s="20" t="str">
        <x:v>P1 Product Information</x:v>
      </x:c>
      <x:c r="D52" s="20" t="str">
        <x:v>P2 Motor Specifications</x:v>
      </x:c>
      <x:c r="E52" s="20" t="str">
        <x:v>P3 Dimensions / Options</x:v>
      </x:c>
      <x:c r="F52" s="20" t="str">
        <x:v>Batch 4</x:v>
      </x:c>
    </x:row>
    <x:row r="53">
      <x:c r="A53" s="20" t="n">
        <x:v>52</x:v>
      </x:c>
      <x:c r="B53" s="20" t="str">
        <x:v>57SJM0002-25M(57SHD0002-25M).pdf</x:v>
      </x:c>
      <x:c r="C53" s="20" t="str">
        <x:v>P1 Product Information</x:v>
      </x:c>
      <x:c r="D53" s="20" t="str">
        <x:v>P2 Motor Specifications</x:v>
      </x:c>
      <x:c r="E53" s="20" t="str">
        <x:v>P3 Dimensions / Options</x:v>
      </x:c>
      <x:c r="F53" s="20" t="str">
        <x:v>Batch 4</x:v>
      </x:c>
    </x:row>
    <x:row r="54">
      <x:c r="A54" s="20" t="n">
        <x:v>53</x:v>
      </x:c>
      <x:c r="B54" s="20" t="str">
        <x:v>57SJM0013-25C(57SHD0013-25C).pdf</x:v>
      </x:c>
      <x:c r="C54" s="20" t="str">
        <x:v>P1 Product Information</x:v>
      </x:c>
      <x:c r="D54" s="20" t="str">
        <x:v>P2 Motor Specifications</x:v>
      </x:c>
      <x:c r="E54" s="20" t="str">
        <x:v>P3 Dimensions / Options</x:v>
      </x:c>
      <x:c r="F54" s="20" t="str">
        <x:v>Batch 4</x:v>
      </x:c>
    </x:row>
    <x:row r="55">
      <x:c r="A55" s="20" t="n">
        <x:v>54</x:v>
      </x:c>
      <x:c r="B55" s="20" t="str">
        <x:v>57SJM0016-21(57SHD0016-21).pdf</x:v>
      </x:c>
      <x:c r="C55" s="20" t="str">
        <x:v>P1 Product Information</x:v>
      </x:c>
      <x:c r="D55" s="20" t="str">
        <x:v>P2 Motor Specifications</x:v>
      </x:c>
      <x:c r="E55" s="20" t="str">
        <x:v>P3 Dimensions / Options</x:v>
      </x:c>
      <x:c r="F55" s="20" t="str">
        <x:v>Batch 4</x:v>
      </x:c>
    </x:row>
    <x:row r="56">
      <x:c r="A56" s="20" t="n">
        <x:v>55</x:v>
      </x:c>
      <x:c r="B56" s="20" t="str">
        <x:v>57SJM0021-21M(57SHD0021-21M).pdf</x:v>
      </x:c>
      <x:c r="C56" s="20" t="str">
        <x:v>P1 Product Information</x:v>
      </x:c>
      <x:c r="D56" s="20" t="str">
        <x:v>P2 Motor Specifications</x:v>
      </x:c>
      <x:c r="E56" s="20" t="str">
        <x:v>P3 Dimensions / Options</x:v>
      </x:c>
      <x:c r="F56" s="20" t="str">
        <x:v>Batch 4</x:v>
      </x:c>
    </x:row>
    <x:row r="57">
      <x:c r="A57" s="20" t="n">
        <x:v>56</x:v>
      </x:c>
      <x:c r="B57" s="20" t="str">
        <x:v>57SJM0025-25M(57SHD0025-25M).pdf</x:v>
      </x:c>
      <x:c r="C57" s="20" t="str">
        <x:v>P1 Product Information</x:v>
      </x:c>
      <x:c r="D57" s="20" t="str">
        <x:v>P2 Motor Specifications</x:v>
      </x:c>
      <x:c r="E57" s="20" t="str">
        <x:v>P3 Dimensions / Options</x:v>
      </x:c>
      <x:c r="F57" s="20" t="str">
        <x:v>Batch 4</x:v>
      </x:c>
    </x:row>
    <x:row r="58">
      <x:c r="A58" s="20" t="n">
        <x:v>57</x:v>
      </x:c>
      <x:c r="B58" s="20" t="str">
        <x:v>57SJM4415-20BH(57SHD4415-20BH).pdf</x:v>
      </x:c>
      <x:c r="C58" s="20" t="str">
        <x:v>P1 Product Information</x:v>
      </x:c>
      <x:c r="D58" s="20" t="str">
        <x:v>P2 Motor Specifications</x:v>
      </x:c>
      <x:c r="E58" s="20" t="str">
        <x:v>P3 Dimensions / Options</x:v>
      </x:c>
      <x:c r="F58" s="20" t="str">
        <x:v>Batch 4</x:v>
      </x:c>
    </x:row>
    <x:row r="59">
      <x:c r="A59" s="20" t="n">
        <x:v>58</x:v>
      </x:c>
      <x:c r="B59" s="20" t="str">
        <x:v>57SJM4425-21B1(57SHD4425-21B1)(1).pdf</x:v>
      </x:c>
      <x:c r="C59" s="20" t="str">
        <x:v>P1 Product Information</x:v>
      </x:c>
      <x:c r="D59" s="20" t="str">
        <x:v>P2 Motor Specifications</x:v>
      </x:c>
      <x:c r="E59" s="20" t="str">
        <x:v>P3 Dimensions / Options</x:v>
      </x:c>
      <x:c r="F59" s="20" t="str">
        <x:v>Batch 4</x:v>
      </x:c>
    </x:row>
    <x:row r="60">
      <x:c r="A60" s="20" t="n">
        <x:v>59</x:v>
      </x:c>
      <x:c r="B60" s="20" t="str">
        <x:v>57SJM4425-21B1H(57SHD4425-21B1H).pdf</x:v>
      </x:c>
      <x:c r="C60" s="20" t="str">
        <x:v>P1 Product Information</x:v>
      </x:c>
      <x:c r="D60" s="20" t="str">
        <x:v>P2 Motor Specifications</x:v>
      </x:c>
      <x:c r="E60" s="20" t="str">
        <x:v>P3 Dimensions / Options</x:v>
      </x:c>
      <x:c r="F60" s="20" t="str">
        <x:v>Batch 4</x:v>
      </x:c>
    </x:row>
    <x:row r="61">
      <x:c r="A61" s="20" t="n">
        <x:v>60</x:v>
      </x:c>
      <x:c r="B61" s="20" t="str">
        <x:v>57SJM4425-21C(57SHD4425-21C).pdf</x:v>
      </x:c>
      <x:c r="C61" s="20" t="str">
        <x:v>P1 Product Information</x:v>
      </x:c>
      <x:c r="D61" s="20" t="str">
        <x:v>P2 Motor Specifications</x:v>
      </x:c>
      <x:c r="E61" s="20" t="str">
        <x:v>P3 Dimensions / Options</x:v>
      </x:c>
      <x:c r="F61" s="20" t="str">
        <x:v>Batch 4</x:v>
      </x:c>
    </x:row>
    <x:row r="62">
      <x:c r="A62" s="20" t="n">
        <x:v>61</x:v>
      </x:c>
      <x:c r="B62" s="20" t="str">
        <x:v>57SJM4425-27BH(57SHD4425-27BH).pdf</x:v>
      </x:c>
      <x:c r="C62" s="20" t="str">
        <x:v>P1 Product Information</x:v>
      </x:c>
      <x:c r="D62" s="20" t="str">
        <x:v>P2 Motor Specifications</x:v>
      </x:c>
      <x:c r="E62" s="20" t="str">
        <x:v>P3 Dimensions / Options</x:v>
      </x:c>
      <x:c r="F62" s="20" t="str">
        <x:v>Batch 4</x:v>
      </x:c>
    </x:row>
    <x:row r="63">
      <x:c r="A63" s="20" t="n">
        <x:v>62</x:v>
      </x:c>
      <x:c r="B63" s="20" t="str">
        <x:v>57SJM4449-21BH(57SHD4449-21BH).pdf</x:v>
      </x:c>
      <x:c r="C63" s="20" t="str">
        <x:v>P1 Product Information</x:v>
      </x:c>
      <x:c r="D63" s="20" t="str">
        <x:v>P2 Motor Specifications</x:v>
      </x:c>
      <x:c r="E63" s="20" t="str">
        <x:v>P3 Dimensions / Options</x:v>
      </x:c>
      <x:c r="F63" s="20" t="str">
        <x:v>Batch 4</x:v>
      </x:c>
    </x:row>
    <x:row r="64">
      <x:c r="A64" s="20" t="n">
        <x:v>63</x:v>
      </x:c>
      <x:c r="B64" s="20" t="str">
        <x:v>57SJM4801-20(57SHD4801-20).pdf</x:v>
      </x:c>
      <x:c r="C64" s="20" t="str">
        <x:v>P1 Product Information</x:v>
      </x:c>
      <x:c r="D64" s="20" t="str">
        <x:v>P2 Motor Specifications</x:v>
      </x:c>
      <x:c r="E64" s="20" t="str">
        <x:v>P3 Dimensions / Options</x:v>
      </x:c>
      <x:c r="F64" s="20" t="str">
        <x:v>Batch 4</x:v>
      </x:c>
    </x:row>
    <x:row r="65">
      <x:c r="A65" s="20" t="n">
        <x:v>64</x:v>
      </x:c>
      <x:c r="B65" s="20" t="str">
        <x:v>57SJM4801-20H(57SHD4801-20H).pdf</x:v>
      </x:c>
      <x:c r="C65" s="20" t="str">
        <x:v>P1 Product Information</x:v>
      </x:c>
      <x:c r="D65" s="20" t="str">
        <x:v>P2 Motor Specifications</x:v>
      </x:c>
      <x:c r="E65" s="20" t="str">
        <x:v>P3 Dimensions / Options</x:v>
      </x:c>
      <x:c r="F65" s="20" t="str">
        <x:v>Batch 4</x:v>
      </x:c>
    </x:row>
    <x:row r="66">
      <x:c r="A66" s="20" t="n">
        <x:v>65</x:v>
      </x:c>
      <x:c r="B66" s="20" t="str">
        <x:v>57SJM4932-20B(57SHD4932-20B).pdf</x:v>
      </x:c>
      <x:c r="C66" s="20" t="str">
        <x:v>P1 Product Information</x:v>
      </x:c>
      <x:c r="D66" s="20" t="str">
        <x:v>P2 Motor Specifications</x:v>
      </x:c>
      <x:c r="E66" s="20" t="str">
        <x:v>P3 Dimensions / Options</x:v>
      </x:c>
      <x:c r="F66" s="20" t="str">
        <x:v>Batch 4</x:v>
      </x:c>
    </x:row>
    <x:row r="67">
      <x:c r="A67" s="20" t="n">
        <x:v>66</x:v>
      </x:c>
      <x:c r="B67" s="20" t="str">
        <x:v>57SJM4934-20B(57SHD4934-20B)(1).pdf</x:v>
      </x:c>
      <x:c r="C67" s="20" t="str">
        <x:v>P1 Product Information</x:v>
      </x:c>
      <x:c r="D67" s="20" t="str">
        <x:v>P2 Motor Specifications</x:v>
      </x:c>
      <x:c r="E67" s="20" t="str">
        <x:v>P3 Dimensions / Options</x:v>
      </x:c>
      <x:c r="F67" s="20" t="str">
        <x:v>Batch 4</x:v>
      </x:c>
    </x:row>
    <x:row r="68">
      <x:c r="A68" s="20" t="n">
        <x:v>67</x:v>
      </x:c>
      <x:c r="B68" s="20" t="str">
        <x:v>57SJM4934-34B(57SHD4934-34B)(1).pdf</x:v>
      </x:c>
      <x:c r="C68" s="20" t="str">
        <x:v>P1 Product Information</x:v>
      </x:c>
      <x:c r="D68" s="20" t="str">
        <x:v>P2 Motor Specifications</x:v>
      </x:c>
      <x:c r="E68" s="20" t="str">
        <x:v>P3 Dimensions / Options</x:v>
      </x:c>
      <x:c r="F68" s="20" t="str">
        <x:v>Batch 4</x:v>
      </x:c>
    </x:row>
  </x:sheetData>
  <x:pageMargins left="0.7" right="0.7" top="0.75" bottom="0.75" header="0.3" footer="0.3"/>
  <x:tableParts count="1">
    <x:tablePart xmlns:r="http://schemas.openxmlformats.org/officeDocument/2006/relationships" r:id="R6c19cba0dca847c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140" t="str">
        <x:v>SEJUMOTION Motor Archive - 67 Model Summary</x:v>
      </x:c>
      <x:c r="B1" s="140"/>
      <x:c r="C1" s="140"/>
      <x:c r="D1" s="140"/>
      <x:c r="E1" s="140"/>
      <x:c r="F1" s="140"/>
    </x:row>
    <x:row r="2">
      <x:c r="A2" s="107"/>
      <x:c r="B2" s="107"/>
      <x:c r="C2" s="107"/>
      <x:c r="D2" s="107"/>
      <x:c r="E2" s="107"/>
      <x:c r="F2" s="107"/>
    </x:row>
    <x:row r="3">
      <x:c r="A3" s="127" t="str">
        <x:v>지표</x:v>
      </x:c>
      <x:c r="B3" s="127" t="str">
        <x:v>값</x:v>
      </x:c>
      <x:c r="C3" s="107"/>
      <x:c r="D3" s="128" t="str">
        <x:v>추천 Dashboard 현재 가능</x:v>
      </x:c>
      <x:c r="E3" s="128" t="str">
        <x:v>추가 확보 필요</x:v>
      </x:c>
      <x:c r="F3" s="128" t="str">
        <x:v>비고</x:v>
      </x:c>
    </x:row>
    <x:row r="4">
      <x:c r="A4" s="107" t="str">
        <x:v>통합 모델 수</x:v>
      </x:c>
      <x:c r="B4" s="107" t="n">
        <x:v>67</x:v>
      </x:c>
      <x:c r="C4" s="107"/>
      <x:c r="D4" s="107" t="str">
        <x:v>사양 검색/비교</x:v>
      </x:c>
      <x:c r="E4" s="107" t="str">
        <x:v>Torque-Speed Curve</x:v>
      </x:c>
      <x:c r="F4" s="107" t="str">
        <x:v>동적 토크 판단 핵심</x:v>
      </x:c>
    </x:row>
    <x:row r="5">
      <x:c r="A5" s="107" t="str">
        <x:v>Batch 1</x:v>
      </x:c>
      <x:c r="B5" s="107" t="n">
        <x:v>20</x:v>
      </x:c>
      <x:c r="C5" s="107"/>
      <x:c r="D5" s="107" t="str">
        <x:v>Holding Torque 1차 필터</x:v>
      </x:c>
      <x:c r="E5" s="107" t="str">
        <x:v>운전/최대속도</x:v>
      </x:c>
      <x:c r="F5" s="107" t="str">
        <x:v>속도 조건 판정</x:v>
      </x:c>
    </x:row>
    <x:row r="6">
      <x:c r="A6" s="107" t="str">
        <x:v>Batch 2</x:v>
      </x:c>
      <x:c r="B6" s="107" t="n">
        <x:v>20</x:v>
      </x:c>
      <x:c r="C6" s="107"/>
      <x:c r="D6" s="107" t="str">
        <x:v>Rotor Inertia 기반 관성비</x:v>
      </x:c>
      <x:c r="E6" s="107" t="str">
        <x:v>Driver Matching</x:v>
      </x:c>
      <x:c r="F6" s="107" t="str">
        <x:v>실사용 조합 추천</x:v>
      </x:c>
    </x:row>
    <x:row r="7">
      <x:c r="A7" s="107" t="str">
        <x:v>QA 확인항목</x:v>
      </x:c>
      <x:c r="B7" s="107" t="n">
        <x:v>22</x:v>
      </x:c>
      <x:c r="C7" s="107"/>
      <x:c r="D7" s="107" t="str">
        <x:v>Frame/Length 공간 필터</x:v>
      </x:c>
      <x:c r="E7" s="107" t="str">
        <x:v>축/체결 상세치수 구조화</x:v>
      </x:c>
      <x:c r="F7" s="107" t="str">
        <x:v>기계적 호환성</x:v>
      </x:c>
    </x:row>
    <x:row r="8">
      <x:c r="A8" s="107" t="str">
        <x:v>Frame Size 범위</x:v>
      </x:c>
      <x:c r="B8" s="107" t="str">
        <x:v>14 ~ 86 mm</x:v>
      </x:c>
      <x:c r="C8" s="107"/>
      <x:c r="D8" s="107" t="str">
        <x:v>전류/저항/인덕턴스 비교</x:v>
      </x:c>
      <x:c r="E8" s="107" t="str">
        <x:v>재고·가격·납기</x:v>
      </x:c>
      <x:c r="F8" s="107" t="str">
        <x:v>실제 영업 추천으로 확장</x:v>
      </x:c>
    </x:row>
    <x:row r="9">
      <x:c r="A9" s="107" t="str">
        <x:v>Batch 3</x:v>
      </x:c>
      <x:c r="B9" s="107" t="n">
        <x:v>8</x:v>
      </x:c>
      <x:c r="C9" s="107"/>
      <x:c r="D9" s="107"/>
      <x:c r="E9" s="107"/>
      <x:c r="F9" s="107"/>
    </x:row>
    <x:row r="10">
      <x:c r="A10" s="107" t="str">
        <x:v>Batch 4</x:v>
      </x:c>
      <x:c r="B10" s="107" t="n">
        <x:v>19</x:v>
      </x:c>
      <x:c r="C10" s="107"/>
      <x:c r="D10" s="107"/>
      <x:c r="E10" s="107"/>
      <x:c r="F10" s="107"/>
    </x:row>
    <x:row r="12" ht="36" customHeight="1">
      <x:c r="A12" s="146" t="str">
        <x:v>첨부 모델 목록 기준 미반영 잔여: 57SJM4972-21B (57SHD4972-21B) 1개 — PDF 추가 시 다음 누적본에 반영 가능</x:v>
      </x:c>
      <x:c r="B12" s="146"/>
      <x:c r="C12" s="146"/>
      <x:c r="D12" s="146"/>
      <x:c r="E12" s="146"/>
      <x:c r="F12" s="146"/>
    </x:row>
  </x:sheetData>
  <x:mergeCells>
    <x:mergeCell ref="A1:F1"/>
    <x:mergeCell ref="A12:F12"/>
  </x:mergeCells>
  <x:pageMargins left="0.7" right="0.7" top="0.75" bottom="0.75" header="0.3" footer="0.3"/>
</x:worksheet>
</file>